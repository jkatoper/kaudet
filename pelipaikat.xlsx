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F3A82B44-4074-4140-B6EB-717D998723F8}" xr6:coauthVersionLast="47" xr6:coauthVersionMax="47" xr10:uidLastSave="{00000000-0000-0000-0000-000000000000}"/>
  <bookViews>
    <workbookView xWindow="324" yWindow="384" windowWidth="22716" windowHeight="12828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5" i="1" l="1"/>
  <c r="M105" i="1"/>
  <c r="L105" i="1"/>
  <c r="K105" i="1"/>
  <c r="J105" i="1"/>
  <c r="I105" i="1"/>
  <c r="H105" i="1"/>
  <c r="G105" i="1"/>
  <c r="F105" i="1"/>
  <c r="E105" i="1"/>
  <c r="D105" i="1"/>
  <c r="C105" i="1"/>
  <c r="N31" i="1"/>
  <c r="O31" i="1" s="1"/>
  <c r="P31" i="1" s="1"/>
  <c r="C87" i="1"/>
  <c r="N13" i="1"/>
  <c r="O13" i="1" s="1"/>
  <c r="P13" i="1" s="1"/>
  <c r="M87" i="1"/>
  <c r="P87" i="1" s="1"/>
  <c r="Q87" i="1" s="1"/>
  <c r="C98" i="1"/>
  <c r="M98" i="1" s="1"/>
  <c r="P98" i="1" s="1"/>
  <c r="Q98" i="1" s="1"/>
  <c r="N24" i="1"/>
  <c r="O24" i="1" s="1"/>
  <c r="P24" i="1" s="1"/>
  <c r="M65" i="1"/>
  <c r="L65" i="1"/>
  <c r="J65" i="1"/>
  <c r="I65" i="1"/>
  <c r="H65" i="1"/>
  <c r="G65" i="1"/>
  <c r="F65" i="1"/>
  <c r="E65" i="1"/>
  <c r="D65" i="1"/>
  <c r="C88" i="1"/>
  <c r="L88" i="1" s="1"/>
  <c r="N14" i="1"/>
  <c r="O14" i="1" s="1"/>
  <c r="P14" i="1" s="1"/>
  <c r="C99" i="1"/>
  <c r="M99" i="1" s="1"/>
  <c r="C113" i="1"/>
  <c r="H113" i="1" s="1"/>
  <c r="N39" i="1"/>
  <c r="O39" i="1" s="1"/>
  <c r="P39" i="1" s="1"/>
  <c r="Q65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8" i="1"/>
  <c r="N37" i="1"/>
  <c r="N36" i="1"/>
  <c r="N35" i="1"/>
  <c r="N34" i="1"/>
  <c r="N33" i="1"/>
  <c r="N32" i="1"/>
  <c r="N30" i="1"/>
  <c r="N29" i="1"/>
  <c r="N28" i="1"/>
  <c r="N27" i="1"/>
  <c r="N26" i="1"/>
  <c r="N25" i="1"/>
  <c r="N23" i="1"/>
  <c r="N22" i="1"/>
  <c r="N21" i="1"/>
  <c r="N20" i="1"/>
  <c r="N19" i="1"/>
  <c r="N18" i="1"/>
  <c r="N17" i="1"/>
  <c r="N16" i="1"/>
  <c r="N15" i="1"/>
  <c r="N12" i="1"/>
  <c r="N11" i="1"/>
  <c r="N10" i="1"/>
  <c r="N9" i="1"/>
  <c r="N8" i="1"/>
  <c r="N7" i="1"/>
  <c r="N6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E88" i="1" l="1"/>
  <c r="D88" i="1"/>
  <c r="H88" i="1" s="1"/>
  <c r="G88" i="1"/>
  <c r="K88" i="1"/>
  <c r="M88" i="1"/>
  <c r="F88" i="1"/>
  <c r="I88" i="1"/>
  <c r="J88" i="1"/>
  <c r="I113" i="1"/>
  <c r="J113" i="1"/>
  <c r="K113" i="1"/>
  <c r="L113" i="1"/>
  <c r="E113" i="1"/>
  <c r="F113" i="1"/>
  <c r="M113" i="1"/>
  <c r="L99" i="1"/>
  <c r="D113" i="1"/>
  <c r="G113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2" i="1"/>
  <c r="O58" i="1"/>
  <c r="P58" i="1" s="1"/>
  <c r="C95" i="1"/>
  <c r="O21" i="1"/>
  <c r="P21" i="1" s="1"/>
  <c r="O25" i="1"/>
  <c r="P25" i="1" s="1"/>
  <c r="D99" i="1"/>
  <c r="O32" i="1"/>
  <c r="P32" i="1" s="1"/>
  <c r="C97" i="1"/>
  <c r="O23" i="1"/>
  <c r="P23" i="1" s="1"/>
  <c r="O62" i="1"/>
  <c r="P62" i="1" s="1"/>
  <c r="O61" i="1"/>
  <c r="P61" i="1" s="1"/>
  <c r="D234" i="1"/>
  <c r="O57" i="1"/>
  <c r="P57" i="1" s="1"/>
  <c r="D233" i="1"/>
  <c r="O55" i="1"/>
  <c r="P55" i="1" s="1"/>
  <c r="O53" i="1"/>
  <c r="P53" i="1" s="1"/>
  <c r="O52" i="1"/>
  <c r="P52" i="1" s="1"/>
  <c r="O51" i="1"/>
  <c r="P51" i="1" s="1"/>
  <c r="O50" i="1"/>
  <c r="P50" i="1" s="1"/>
  <c r="O49" i="1"/>
  <c r="P49" i="1" s="1"/>
  <c r="O48" i="1"/>
  <c r="P48" i="1" s="1"/>
  <c r="O47" i="1"/>
  <c r="P47" i="1" s="1"/>
  <c r="O45" i="1"/>
  <c r="P45" i="1" s="1"/>
  <c r="E229" i="1" s="1"/>
  <c r="O44" i="1"/>
  <c r="P44" i="1" s="1"/>
  <c r="O43" i="1"/>
  <c r="P43" i="1" s="1"/>
  <c r="O42" i="1"/>
  <c r="P42" i="1" s="1"/>
  <c r="O41" i="1"/>
  <c r="P41" i="1" s="1"/>
  <c r="O40" i="1"/>
  <c r="P40" i="1" s="1"/>
  <c r="D226" i="1"/>
  <c r="D225" i="1"/>
  <c r="D224" i="1"/>
  <c r="O35" i="1"/>
  <c r="P35" i="1" s="1"/>
  <c r="O34" i="1"/>
  <c r="P34" i="1" s="1"/>
  <c r="O33" i="1"/>
  <c r="P33" i="1" s="1"/>
  <c r="O29" i="1"/>
  <c r="P29" i="1" s="1"/>
  <c r="O27" i="1"/>
  <c r="P27" i="1" s="1"/>
  <c r="O26" i="1"/>
  <c r="P26" i="1" s="1"/>
  <c r="E221" i="1" s="1"/>
  <c r="O22" i="1"/>
  <c r="P22" i="1" s="1"/>
  <c r="E220" i="1" s="1"/>
  <c r="O20" i="1"/>
  <c r="P20" i="1" s="1"/>
  <c r="O19" i="1"/>
  <c r="P19" i="1" s="1"/>
  <c r="O18" i="1"/>
  <c r="P18" i="1" s="1"/>
  <c r="O17" i="1"/>
  <c r="P17" i="1" s="1"/>
  <c r="O15" i="1"/>
  <c r="P15" i="1" s="1"/>
  <c r="E218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E215" i="1" s="1"/>
  <c r="O4" i="1"/>
  <c r="P4" i="1" s="1"/>
  <c r="O3" i="1"/>
  <c r="P3" i="1" s="1"/>
  <c r="D214" i="1"/>
  <c r="B238" i="1"/>
  <c r="C137" i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2" i="1"/>
  <c r="C111" i="1"/>
  <c r="C110" i="1"/>
  <c r="C109" i="1"/>
  <c r="C108" i="1"/>
  <c r="C107" i="1"/>
  <c r="C106" i="1"/>
  <c r="C104" i="1"/>
  <c r="C103" i="1"/>
  <c r="C102" i="1"/>
  <c r="C101" i="1"/>
  <c r="C100" i="1"/>
  <c r="C96" i="1"/>
  <c r="C94" i="1"/>
  <c r="C93" i="1"/>
  <c r="C92" i="1"/>
  <c r="C91" i="1"/>
  <c r="C90" i="1"/>
  <c r="C89" i="1"/>
  <c r="C86" i="1"/>
  <c r="C85" i="1"/>
  <c r="C84" i="1"/>
  <c r="C83" i="1"/>
  <c r="C82" i="1"/>
  <c r="C81" i="1"/>
  <c r="C80" i="1"/>
  <c r="C79" i="1"/>
  <c r="C78" i="1"/>
  <c r="C77" i="1"/>
  <c r="C76" i="1"/>
  <c r="K63" i="1"/>
  <c r="P113" i="1" l="1"/>
  <c r="Q113" i="1" s="1"/>
  <c r="N63" i="1"/>
  <c r="K65" i="1"/>
  <c r="N65" i="1" s="1"/>
  <c r="P88" i="1"/>
  <c r="J121" i="1"/>
  <c r="M121" i="1"/>
  <c r="E93" i="1"/>
  <c r="M93" i="1"/>
  <c r="J94" i="1"/>
  <c r="M94" i="1"/>
  <c r="I96" i="1"/>
  <c r="M96" i="1"/>
  <c r="I126" i="1"/>
  <c r="M126" i="1"/>
  <c r="J102" i="1"/>
  <c r="M102" i="1"/>
  <c r="H106" i="1"/>
  <c r="M106" i="1"/>
  <c r="H76" i="1"/>
  <c r="M76" i="1"/>
  <c r="G134" i="1"/>
  <c r="M134" i="1"/>
  <c r="J135" i="1"/>
  <c r="M135" i="1"/>
  <c r="L110" i="1"/>
  <c r="M110" i="1"/>
  <c r="L136" i="1"/>
  <c r="M136" i="1"/>
  <c r="J91" i="1"/>
  <c r="M91" i="1"/>
  <c r="J92" i="1"/>
  <c r="M92" i="1"/>
  <c r="I100" i="1"/>
  <c r="M100" i="1"/>
  <c r="H131" i="1"/>
  <c r="M131" i="1"/>
  <c r="L133" i="1"/>
  <c r="M133" i="1"/>
  <c r="L79" i="1"/>
  <c r="M79" i="1"/>
  <c r="L80" i="1"/>
  <c r="M80" i="1"/>
  <c r="G111" i="1"/>
  <c r="M111" i="1"/>
  <c r="G137" i="1"/>
  <c r="M137" i="1"/>
  <c r="I97" i="1"/>
  <c r="M97" i="1"/>
  <c r="E122" i="1"/>
  <c r="M122" i="1"/>
  <c r="K123" i="1"/>
  <c r="M123" i="1"/>
  <c r="I124" i="1"/>
  <c r="M124" i="1"/>
  <c r="D101" i="1"/>
  <c r="M101" i="1"/>
  <c r="J128" i="1"/>
  <c r="M128" i="1"/>
  <c r="E129" i="1"/>
  <c r="M129" i="1"/>
  <c r="H130" i="1"/>
  <c r="M130" i="1"/>
  <c r="G107" i="1"/>
  <c r="M107" i="1"/>
  <c r="G108" i="1"/>
  <c r="M108" i="1"/>
  <c r="G81" i="1"/>
  <c r="M81" i="1"/>
  <c r="K83" i="1"/>
  <c r="M83" i="1"/>
  <c r="K115" i="1"/>
  <c r="M115" i="1"/>
  <c r="I125" i="1"/>
  <c r="M125" i="1"/>
  <c r="D127" i="1"/>
  <c r="M127" i="1"/>
  <c r="H103" i="1"/>
  <c r="M103" i="1"/>
  <c r="H104" i="1"/>
  <c r="M104" i="1"/>
  <c r="G77" i="1"/>
  <c r="M77" i="1"/>
  <c r="G78" i="1"/>
  <c r="M78" i="1"/>
  <c r="L109" i="1"/>
  <c r="M109" i="1"/>
  <c r="K112" i="1"/>
  <c r="M112" i="1"/>
  <c r="K82" i="1"/>
  <c r="M82" i="1"/>
  <c r="F114" i="1"/>
  <c r="M114" i="1"/>
  <c r="K84" i="1"/>
  <c r="M84" i="1"/>
  <c r="K116" i="1"/>
  <c r="M116" i="1"/>
  <c r="K85" i="1"/>
  <c r="M85" i="1"/>
  <c r="F117" i="1"/>
  <c r="M117" i="1"/>
  <c r="F86" i="1"/>
  <c r="M86" i="1"/>
  <c r="L118" i="1"/>
  <c r="M118" i="1"/>
  <c r="K95" i="1"/>
  <c r="M95" i="1"/>
  <c r="M89" i="1"/>
  <c r="J119" i="1"/>
  <c r="M119" i="1"/>
  <c r="J90" i="1"/>
  <c r="M90" i="1"/>
  <c r="J120" i="1"/>
  <c r="M120" i="1"/>
  <c r="L132" i="1"/>
  <c r="M132" i="1"/>
  <c r="J89" i="1"/>
  <c r="E99" i="1"/>
  <c r="F99" i="1" s="1"/>
  <c r="G99" i="1" s="1"/>
  <c r="H99" i="1" s="1"/>
  <c r="I99" i="1" s="1"/>
  <c r="J99" i="1" s="1"/>
  <c r="K99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24" i="1"/>
  <c r="G95" i="1"/>
  <c r="J95" i="1"/>
  <c r="J123" i="1"/>
  <c r="F94" i="1"/>
  <c r="J93" i="1"/>
  <c r="J118" i="1"/>
  <c r="J122" i="1"/>
  <c r="L123" i="1"/>
  <c r="F91" i="1"/>
  <c r="I95" i="1"/>
  <c r="F119" i="1"/>
  <c r="D95" i="1"/>
  <c r="F120" i="1"/>
  <c r="F121" i="1"/>
  <c r="H95" i="1"/>
  <c r="F124" i="1"/>
  <c r="H93" i="1"/>
  <c r="H94" i="1"/>
  <c r="L95" i="1"/>
  <c r="E95" i="1"/>
  <c r="F95" i="1"/>
  <c r="F122" i="1"/>
  <c r="F123" i="1"/>
  <c r="G91" i="1"/>
  <c r="I123" i="1"/>
  <c r="K89" i="1"/>
  <c r="D96" i="1"/>
  <c r="G115" i="1"/>
  <c r="K91" i="1"/>
  <c r="D104" i="1"/>
  <c r="G120" i="1"/>
  <c r="K121" i="1"/>
  <c r="D106" i="1"/>
  <c r="G124" i="1"/>
  <c r="L84" i="1"/>
  <c r="D107" i="1"/>
  <c r="H82" i="1"/>
  <c r="L86" i="1"/>
  <c r="D108" i="1"/>
  <c r="H83" i="1"/>
  <c r="L89" i="1"/>
  <c r="D109" i="1"/>
  <c r="H92" i="1"/>
  <c r="L90" i="1"/>
  <c r="D116" i="1"/>
  <c r="D117" i="1"/>
  <c r="L92" i="1"/>
  <c r="H121" i="1"/>
  <c r="D119" i="1"/>
  <c r="H123" i="1"/>
  <c r="L115" i="1"/>
  <c r="L91" i="1"/>
  <c r="D118" i="1"/>
  <c r="L93" i="1"/>
  <c r="D123" i="1"/>
  <c r="I118" i="1"/>
  <c r="L116" i="1"/>
  <c r="E123" i="1"/>
  <c r="I122" i="1"/>
  <c r="L117" i="1"/>
  <c r="I135" i="1"/>
  <c r="L124" i="1"/>
  <c r="F97" i="1"/>
  <c r="I137" i="1"/>
  <c r="L125" i="1"/>
  <c r="F118" i="1"/>
  <c r="J86" i="1"/>
  <c r="D94" i="1"/>
  <c r="G94" i="1"/>
  <c r="K90" i="1"/>
  <c r="H107" i="1"/>
  <c r="D130" i="1"/>
  <c r="G92" i="1"/>
  <c r="H133" i="1"/>
  <c r="J125" i="1"/>
  <c r="D131" i="1"/>
  <c r="G93" i="1"/>
  <c r="I77" i="1"/>
  <c r="K86" i="1"/>
  <c r="K92" i="1"/>
  <c r="E90" i="1"/>
  <c r="G118" i="1"/>
  <c r="I108" i="1"/>
  <c r="K119" i="1"/>
  <c r="H108" i="1"/>
  <c r="H109" i="1"/>
  <c r="I78" i="1"/>
  <c r="I104" i="1"/>
  <c r="E89" i="1"/>
  <c r="G117" i="1"/>
  <c r="I107" i="1"/>
  <c r="I76" i="1"/>
  <c r="E94" i="1"/>
  <c r="G119" i="1"/>
  <c r="I109" i="1"/>
  <c r="K120" i="1"/>
  <c r="D133" i="1"/>
  <c r="J76" i="1"/>
  <c r="I114" i="1"/>
  <c r="D79" i="1"/>
  <c r="E125" i="1"/>
  <c r="G121" i="1"/>
  <c r="I115" i="1"/>
  <c r="K122" i="1"/>
  <c r="D134" i="1"/>
  <c r="D135" i="1"/>
  <c r="G116" i="1"/>
  <c r="I106" i="1"/>
  <c r="D89" i="1"/>
  <c r="H89" i="1" s="1"/>
  <c r="F89" i="1"/>
  <c r="G122" i="1"/>
  <c r="I116" i="1"/>
  <c r="L82" i="1"/>
  <c r="D90" i="1"/>
  <c r="F90" i="1"/>
  <c r="G123" i="1"/>
  <c r="I117" i="1"/>
  <c r="L83" i="1"/>
  <c r="F125" i="1"/>
  <c r="H122" i="1"/>
  <c r="I80" i="1"/>
  <c r="D102" i="1"/>
  <c r="I82" i="1"/>
  <c r="H112" i="1"/>
  <c r="G82" i="1"/>
  <c r="E96" i="1"/>
  <c r="G83" i="1"/>
  <c r="G125" i="1"/>
  <c r="H115" i="1"/>
  <c r="I89" i="1"/>
  <c r="I130" i="1"/>
  <c r="K93" i="1"/>
  <c r="L94" i="1"/>
  <c r="H110" i="1"/>
  <c r="H111" i="1"/>
  <c r="D110" i="1"/>
  <c r="G84" i="1"/>
  <c r="H77" i="1"/>
  <c r="H116" i="1"/>
  <c r="I93" i="1"/>
  <c r="I131" i="1"/>
  <c r="K94" i="1"/>
  <c r="L96" i="1"/>
  <c r="L137" i="1"/>
  <c r="D136" i="1"/>
  <c r="I83" i="1"/>
  <c r="I127" i="1"/>
  <c r="I128" i="1"/>
  <c r="I86" i="1"/>
  <c r="I129" i="1"/>
  <c r="E97" i="1"/>
  <c r="K76" i="1"/>
  <c r="D111" i="1"/>
  <c r="E118" i="1"/>
  <c r="G85" i="1"/>
  <c r="H78" i="1"/>
  <c r="H117" i="1"/>
  <c r="I94" i="1"/>
  <c r="I133" i="1"/>
  <c r="K96" i="1"/>
  <c r="L97" i="1"/>
  <c r="H114" i="1"/>
  <c r="L76" i="1"/>
  <c r="D112" i="1"/>
  <c r="E119" i="1"/>
  <c r="G86" i="1"/>
  <c r="H79" i="1"/>
  <c r="H118" i="1"/>
  <c r="I101" i="1"/>
  <c r="I134" i="1"/>
  <c r="K97" i="1"/>
  <c r="L111" i="1"/>
  <c r="I81" i="1"/>
  <c r="D137" i="1"/>
  <c r="I85" i="1"/>
  <c r="D77" i="1"/>
  <c r="G89" i="1"/>
  <c r="H119" i="1"/>
  <c r="I102" i="1"/>
  <c r="K117" i="1"/>
  <c r="L112" i="1"/>
  <c r="I79" i="1"/>
  <c r="D103" i="1"/>
  <c r="I84" i="1"/>
  <c r="D114" i="1"/>
  <c r="H80" i="1"/>
  <c r="D78" i="1"/>
  <c r="D115" i="1"/>
  <c r="E124" i="1"/>
  <c r="G90" i="1"/>
  <c r="H81" i="1"/>
  <c r="H120" i="1"/>
  <c r="I103" i="1"/>
  <c r="I136" i="1"/>
  <c r="K118" i="1"/>
  <c r="L114" i="1"/>
  <c r="D80" i="1"/>
  <c r="D82" i="1"/>
  <c r="H85" i="1"/>
  <c r="D83" i="1"/>
  <c r="F92" i="1"/>
  <c r="G96" i="1"/>
  <c r="H86" i="1"/>
  <c r="H134" i="1"/>
  <c r="L119" i="1"/>
  <c r="D84" i="1"/>
  <c r="D124" i="1"/>
  <c r="F93" i="1"/>
  <c r="G97" i="1"/>
  <c r="H135" i="1"/>
  <c r="I110" i="1"/>
  <c r="J96" i="1"/>
  <c r="K124" i="1"/>
  <c r="L120" i="1"/>
  <c r="D81" i="1"/>
  <c r="H84" i="1"/>
  <c r="D85" i="1"/>
  <c r="D128" i="1"/>
  <c r="G112" i="1"/>
  <c r="H90" i="1"/>
  <c r="H136" i="1"/>
  <c r="I111" i="1"/>
  <c r="J97" i="1"/>
  <c r="K125" i="1"/>
  <c r="L121" i="1"/>
  <c r="D86" i="1"/>
  <c r="D129" i="1"/>
  <c r="F96" i="1"/>
  <c r="G114" i="1"/>
  <c r="H91" i="1"/>
  <c r="H137" i="1"/>
  <c r="I112" i="1"/>
  <c r="J117" i="1"/>
  <c r="L81" i="1"/>
  <c r="L122" i="1"/>
  <c r="L85" i="1"/>
  <c r="L127" i="1"/>
  <c r="E127" i="1"/>
  <c r="J126" i="1"/>
  <c r="J127" i="1"/>
  <c r="E130" i="1"/>
  <c r="E106" i="1"/>
  <c r="J104" i="1"/>
  <c r="F101" i="1"/>
  <c r="F129" i="1"/>
  <c r="K102" i="1"/>
  <c r="E110" i="1"/>
  <c r="K129" i="1"/>
  <c r="E137" i="1"/>
  <c r="J136" i="1"/>
  <c r="F107" i="1"/>
  <c r="J137" i="1"/>
  <c r="L100" i="1"/>
  <c r="F78" i="1"/>
  <c r="G102" i="1"/>
  <c r="J112" i="1"/>
  <c r="K77" i="1"/>
  <c r="K107" i="1"/>
  <c r="L101" i="1"/>
  <c r="D91" i="1"/>
  <c r="D120" i="1"/>
  <c r="E84" i="1"/>
  <c r="E115" i="1"/>
  <c r="F79" i="1"/>
  <c r="F109" i="1"/>
  <c r="F135" i="1"/>
  <c r="G103" i="1"/>
  <c r="G129" i="1"/>
  <c r="H96" i="1"/>
  <c r="H124" i="1"/>
  <c r="I90" i="1"/>
  <c r="I119" i="1"/>
  <c r="J83" i="1"/>
  <c r="J114" i="1"/>
  <c r="K78" i="1"/>
  <c r="K108" i="1"/>
  <c r="K134" i="1"/>
  <c r="L102" i="1"/>
  <c r="L128" i="1"/>
  <c r="E126" i="1"/>
  <c r="E103" i="1"/>
  <c r="J103" i="1"/>
  <c r="E77" i="1"/>
  <c r="K100" i="1"/>
  <c r="J107" i="1"/>
  <c r="F103" i="1"/>
  <c r="J134" i="1"/>
  <c r="E80" i="1"/>
  <c r="J79" i="1"/>
  <c r="F106" i="1"/>
  <c r="K104" i="1"/>
  <c r="E82" i="1"/>
  <c r="E112" i="1"/>
  <c r="F133" i="1"/>
  <c r="G127" i="1"/>
  <c r="J81" i="1"/>
  <c r="K106" i="1"/>
  <c r="K131" i="1"/>
  <c r="E83" i="1"/>
  <c r="F108" i="1"/>
  <c r="G128" i="1"/>
  <c r="J82" i="1"/>
  <c r="D92" i="1"/>
  <c r="D121" i="1"/>
  <c r="E85" i="1"/>
  <c r="E116" i="1"/>
  <c r="F80" i="1"/>
  <c r="F110" i="1"/>
  <c r="F136" i="1"/>
  <c r="G104" i="1"/>
  <c r="G130" i="1"/>
  <c r="H97" i="1"/>
  <c r="H125" i="1"/>
  <c r="I91" i="1"/>
  <c r="I120" i="1"/>
  <c r="J84" i="1"/>
  <c r="J115" i="1"/>
  <c r="K79" i="1"/>
  <c r="K109" i="1"/>
  <c r="K135" i="1"/>
  <c r="L103" i="1"/>
  <c r="L129" i="1"/>
  <c r="E101" i="1"/>
  <c r="J101" i="1"/>
  <c r="F100" i="1"/>
  <c r="J130" i="1"/>
  <c r="E107" i="1"/>
  <c r="J106" i="1"/>
  <c r="E134" i="1"/>
  <c r="K101" i="1"/>
  <c r="E135" i="1"/>
  <c r="J108" i="1"/>
  <c r="F130" i="1"/>
  <c r="K103" i="1"/>
  <c r="G126" i="1"/>
  <c r="J110" i="1"/>
  <c r="F77" i="1"/>
  <c r="G101" i="1"/>
  <c r="J111" i="1"/>
  <c r="L126" i="1"/>
  <c r="E114" i="1"/>
  <c r="F134" i="1"/>
  <c r="K133" i="1"/>
  <c r="D93" i="1"/>
  <c r="D122" i="1"/>
  <c r="E86" i="1"/>
  <c r="E117" i="1"/>
  <c r="F81" i="1"/>
  <c r="F111" i="1"/>
  <c r="F137" i="1"/>
  <c r="G106" i="1"/>
  <c r="G131" i="1"/>
  <c r="H100" i="1"/>
  <c r="H126" i="1"/>
  <c r="I92" i="1"/>
  <c r="I121" i="1"/>
  <c r="J85" i="1"/>
  <c r="J116" i="1"/>
  <c r="K80" i="1"/>
  <c r="K110" i="1"/>
  <c r="K136" i="1"/>
  <c r="L104" i="1"/>
  <c r="L130" i="1"/>
  <c r="J100" i="1"/>
  <c r="E102" i="1"/>
  <c r="E133" i="1"/>
  <c r="J131" i="1"/>
  <c r="F102" i="1"/>
  <c r="J77" i="1"/>
  <c r="E79" i="1"/>
  <c r="K128" i="1"/>
  <c r="E111" i="1"/>
  <c r="K130" i="1"/>
  <c r="F112" i="1"/>
  <c r="K137" i="1"/>
  <c r="F83" i="1"/>
  <c r="H102" i="1"/>
  <c r="L77" i="1"/>
  <c r="F76" i="1"/>
  <c r="D97" i="1"/>
  <c r="D125" i="1"/>
  <c r="E91" i="1"/>
  <c r="E120" i="1"/>
  <c r="F84" i="1"/>
  <c r="F115" i="1"/>
  <c r="G79" i="1"/>
  <c r="G109" i="1"/>
  <c r="G135" i="1"/>
  <c r="H129" i="1"/>
  <c r="K114" i="1"/>
  <c r="L78" i="1"/>
  <c r="L108" i="1"/>
  <c r="L134" i="1"/>
  <c r="E128" i="1"/>
  <c r="E104" i="1"/>
  <c r="J129" i="1"/>
  <c r="F126" i="1"/>
  <c r="F127" i="1"/>
  <c r="K126" i="1"/>
  <c r="E108" i="1"/>
  <c r="F128" i="1"/>
  <c r="J133" i="1"/>
  <c r="E109" i="1"/>
  <c r="J78" i="1"/>
  <c r="F104" i="1"/>
  <c r="J109" i="1"/>
  <c r="E81" i="1"/>
  <c r="G100" i="1"/>
  <c r="J80" i="1"/>
  <c r="D76" i="1"/>
  <c r="L131" i="1"/>
  <c r="H128" i="1"/>
  <c r="L107" i="1"/>
  <c r="G76" i="1"/>
  <c r="D100" i="1"/>
  <c r="D126" i="1"/>
  <c r="E92" i="1"/>
  <c r="E121" i="1"/>
  <c r="F85" i="1"/>
  <c r="F116" i="1"/>
  <c r="G80" i="1"/>
  <c r="G110" i="1"/>
  <c r="G136" i="1"/>
  <c r="L135" i="1"/>
  <c r="E100" i="1"/>
  <c r="E131" i="1"/>
  <c r="E78" i="1"/>
  <c r="K127" i="1"/>
  <c r="E136" i="1"/>
  <c r="F131" i="1"/>
  <c r="F82" i="1"/>
  <c r="G133" i="1"/>
  <c r="H101" i="1"/>
  <c r="H127" i="1"/>
  <c r="K81" i="1"/>
  <c r="K111" i="1"/>
  <c r="L106" i="1"/>
  <c r="E76" i="1"/>
  <c r="D216" i="1"/>
  <c r="O36" i="1"/>
  <c r="P36" i="1" s="1"/>
  <c r="E224" i="1" s="1"/>
  <c r="E231" i="1"/>
  <c r="D223" i="1"/>
  <c r="D220" i="1"/>
  <c r="D221" i="1"/>
  <c r="D219" i="1"/>
  <c r="D230" i="1"/>
  <c r="D235" i="1"/>
  <c r="E216" i="1"/>
  <c r="D215" i="1"/>
  <c r="D217" i="1"/>
  <c r="D218" i="1"/>
  <c r="D227" i="1"/>
  <c r="D228" i="1"/>
  <c r="D229" i="1"/>
  <c r="D231" i="1"/>
  <c r="E228" i="1"/>
  <c r="D222" i="1"/>
  <c r="D232" i="1"/>
  <c r="E217" i="1"/>
  <c r="E227" i="1"/>
  <c r="O30" i="1"/>
  <c r="P30" i="1" s="1"/>
  <c r="E223" i="1" s="1"/>
  <c r="O16" i="1"/>
  <c r="P16" i="1" s="1"/>
  <c r="E219" i="1" s="1"/>
  <c r="O56" i="1"/>
  <c r="P56" i="1" s="1"/>
  <c r="E233" i="1" s="1"/>
  <c r="O46" i="1"/>
  <c r="P46" i="1" s="1"/>
  <c r="E230" i="1" s="1"/>
  <c r="O37" i="1"/>
  <c r="P37" i="1" s="1"/>
  <c r="E225" i="1" s="1"/>
  <c r="O38" i="1"/>
  <c r="P38" i="1" s="1"/>
  <c r="E226" i="1" s="1"/>
  <c r="O28" i="1"/>
  <c r="P28" i="1" s="1"/>
  <c r="E222" i="1" s="1"/>
  <c r="O54" i="1"/>
  <c r="P54" i="1" s="1"/>
  <c r="E232" i="1" s="1"/>
  <c r="O2" i="1"/>
  <c r="O59" i="1"/>
  <c r="P59" i="1" s="1"/>
  <c r="E234" i="1" s="1"/>
  <c r="O60" i="1"/>
  <c r="P60" i="1" s="1"/>
  <c r="E235" i="1" s="1"/>
  <c r="M142" i="1" l="1"/>
  <c r="M143" i="1" s="1"/>
  <c r="P132" i="1"/>
  <c r="P97" i="1"/>
  <c r="Q97" i="1" s="1"/>
  <c r="P120" i="1"/>
  <c r="P116" i="1"/>
  <c r="P91" i="1"/>
  <c r="P125" i="1"/>
  <c r="P115" i="1"/>
  <c r="P112" i="1"/>
  <c r="Q112" i="1" s="1"/>
  <c r="P101" i="1"/>
  <c r="P133" i="1"/>
  <c r="Q133" i="1" s="1"/>
  <c r="P99" i="1"/>
  <c r="Q99" i="1" s="1"/>
  <c r="P127" i="1"/>
  <c r="P78" i="1"/>
  <c r="P114" i="1"/>
  <c r="P121" i="1"/>
  <c r="P92" i="1"/>
  <c r="P124" i="1"/>
  <c r="P108" i="1"/>
  <c r="P84" i="1"/>
  <c r="P89" i="1"/>
  <c r="Q88" i="1" s="1"/>
  <c r="P95" i="1"/>
  <c r="Q95" i="1" s="1"/>
  <c r="P129" i="1"/>
  <c r="P86" i="1"/>
  <c r="P135" i="1"/>
  <c r="P122" i="1"/>
  <c r="P111" i="1"/>
  <c r="Q111" i="1" s="1"/>
  <c r="P134" i="1"/>
  <c r="P106" i="1"/>
  <c r="P126" i="1"/>
  <c r="P93" i="1"/>
  <c r="P83" i="1"/>
  <c r="P77" i="1"/>
  <c r="P100" i="1"/>
  <c r="Q100" i="1" s="1"/>
  <c r="P123" i="1"/>
  <c r="P82" i="1"/>
  <c r="P137" i="1"/>
  <c r="Q137" i="1" s="1"/>
  <c r="P104" i="1"/>
  <c r="P80" i="1"/>
  <c r="P118" i="1"/>
  <c r="P90" i="1"/>
  <c r="P109" i="1"/>
  <c r="P110" i="1"/>
  <c r="Q110" i="1" s="1"/>
  <c r="P103" i="1"/>
  <c r="P107" i="1"/>
  <c r="P79" i="1"/>
  <c r="Q79" i="1" s="1"/>
  <c r="P131" i="1"/>
  <c r="P96" i="1"/>
  <c r="Q96" i="1" s="1"/>
  <c r="P76" i="1"/>
  <c r="P128" i="1"/>
  <c r="P102" i="1"/>
  <c r="P94" i="1"/>
  <c r="P85" i="1"/>
  <c r="P136" i="1"/>
  <c r="P119" i="1"/>
  <c r="Q119" i="1" s="1"/>
  <c r="P130" i="1"/>
  <c r="P81" i="1"/>
  <c r="P117" i="1"/>
  <c r="D138" i="2"/>
  <c r="D139" i="2" s="1"/>
  <c r="E138" i="2"/>
  <c r="E139" i="2" s="1"/>
  <c r="H69" i="2"/>
  <c r="I69" i="2" s="1"/>
  <c r="I68" i="2"/>
  <c r="I61" i="2"/>
  <c r="D142" i="1"/>
  <c r="D143" i="1" s="1"/>
  <c r="F142" i="1"/>
  <c r="F143" i="1" s="1"/>
  <c r="E142" i="1"/>
  <c r="E143" i="1" s="1"/>
  <c r="L142" i="1"/>
  <c r="L143" i="1" s="1"/>
  <c r="J142" i="1"/>
  <c r="J143" i="1" s="1"/>
  <c r="I142" i="1"/>
  <c r="I143" i="1" s="1"/>
  <c r="H142" i="1"/>
  <c r="H143" i="1" s="1"/>
  <c r="G142" i="1"/>
  <c r="G143" i="1" s="1"/>
  <c r="K142" i="1"/>
  <c r="K143" i="1" s="1"/>
  <c r="P2" i="1"/>
  <c r="D236" i="1"/>
  <c r="D238" i="1" s="1"/>
  <c r="O63" i="1"/>
  <c r="P63" i="1" s="1"/>
  <c r="E236" i="1" s="1"/>
  <c r="P142" i="1" l="1"/>
  <c r="Q76" i="1"/>
  <c r="Q124" i="1"/>
  <c r="Q90" i="1"/>
  <c r="N142" i="1"/>
  <c r="Q80" i="1"/>
  <c r="Q114" i="1"/>
  <c r="Q104" i="1"/>
  <c r="Q127" i="1"/>
  <c r="Q101" i="1"/>
  <c r="Q82" i="1"/>
  <c r="Q130" i="1"/>
  <c r="Q116" i="1"/>
  <c r="Q134" i="1"/>
  <c r="Q120" i="1"/>
  <c r="G138" i="2"/>
  <c r="P65" i="1"/>
  <c r="E214" i="1"/>
  <c r="E238" i="1" s="1"/>
  <c r="O142" i="1" l="1"/>
  <c r="N143" i="1"/>
  <c r="Q142" i="1"/>
  <c r="G139" i="2"/>
  <c r="H138" i="2"/>
</calcChain>
</file>

<file path=xl/sharedStrings.xml><?xml version="1.0" encoding="utf-8"?>
<sst xmlns="http://schemas.openxmlformats.org/spreadsheetml/2006/main" count="516" uniqueCount="129">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</sst>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38"/>
  <sheetViews>
    <sheetView tabSelected="1" topLeftCell="A133" workbookViewId="0">
      <selection activeCell="N107" sqref="N107"/>
    </sheetView>
  </sheetViews>
  <sheetFormatPr defaultRowHeight="14.4" x14ac:dyDescent="0.3"/>
  <cols>
    <col min="1" max="1" width="10.77734375" customWidth="1"/>
    <col min="2" max="2" width="22.77734375" customWidth="1"/>
    <col min="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1</v>
      </c>
      <c r="N2" s="8">
        <f>SUM(D2:M2)</f>
        <v>3</v>
      </c>
      <c r="O2" s="8">
        <f t="shared" ref="O2:O63" si="0">C2*N2</f>
        <v>24</v>
      </c>
      <c r="P2" s="8">
        <f t="shared" ref="P2:P63" si="1">2*O2</f>
        <v>48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3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7" x14ac:dyDescent="0.3">
      <c r="A6" s="8" t="s">
        <v>19</v>
      </c>
      <c r="B6" s="8" t="s">
        <v>20</v>
      </c>
      <c r="C6" s="8">
        <v>139</v>
      </c>
      <c r="D6" s="8"/>
      <c r="E6" s="8"/>
      <c r="F6" s="8"/>
      <c r="G6" s="8"/>
      <c r="H6" s="8"/>
      <c r="I6" s="8"/>
      <c r="J6" s="8"/>
      <c r="K6" s="8">
        <v>1</v>
      </c>
      <c r="L6" s="8"/>
      <c r="M6" s="8">
        <v>3</v>
      </c>
      <c r="N6" s="8">
        <f t="shared" si="2"/>
        <v>4</v>
      </c>
      <c r="O6" s="8">
        <f t="shared" si="0"/>
        <v>556</v>
      </c>
      <c r="P6" s="8">
        <f t="shared" si="1"/>
        <v>1112</v>
      </c>
      <c r="Q6" s="8"/>
    </row>
    <row r="7" spans="1:17" x14ac:dyDescent="0.3">
      <c r="A7" s="8" t="s">
        <v>19</v>
      </c>
      <c r="B7" s="8" t="s">
        <v>21</v>
      </c>
      <c r="C7" s="8">
        <v>141</v>
      </c>
      <c r="D7" s="8"/>
      <c r="E7" s="8"/>
      <c r="F7" s="8"/>
      <c r="G7" s="8"/>
      <c r="H7" s="8"/>
      <c r="I7" s="8">
        <v>1</v>
      </c>
      <c r="J7" s="8"/>
      <c r="K7" s="8"/>
      <c r="L7" s="8"/>
      <c r="M7" s="8"/>
      <c r="N7" s="8">
        <f t="shared" si="2"/>
        <v>1</v>
      </c>
      <c r="O7" s="8">
        <f t="shared" si="0"/>
        <v>141</v>
      </c>
      <c r="P7" s="8">
        <f t="shared" si="1"/>
        <v>282</v>
      </c>
      <c r="Q7" s="8">
        <v>2</v>
      </c>
    </row>
    <row r="8" spans="1:17" x14ac:dyDescent="0.3">
      <c r="A8" s="6" t="s">
        <v>22</v>
      </c>
      <c r="B8" s="6" t="s">
        <v>23</v>
      </c>
      <c r="C8" s="6">
        <v>33</v>
      </c>
      <c r="D8" s="6"/>
      <c r="E8" s="6"/>
      <c r="F8" s="6"/>
      <c r="G8" s="6"/>
      <c r="H8" s="6"/>
      <c r="I8" s="6"/>
      <c r="J8" s="6"/>
      <c r="K8" s="6">
        <v>1</v>
      </c>
      <c r="L8" s="6"/>
      <c r="M8" s="6"/>
      <c r="N8" s="6">
        <f t="shared" si="2"/>
        <v>1</v>
      </c>
      <c r="O8" s="6">
        <f t="shared" si="0"/>
        <v>33</v>
      </c>
      <c r="P8" s="6">
        <f t="shared" si="1"/>
        <v>66</v>
      </c>
      <c r="Q8" s="6"/>
    </row>
    <row r="9" spans="1:17" x14ac:dyDescent="0.3">
      <c r="A9" s="6" t="s">
        <v>22</v>
      </c>
      <c r="B9" s="6" t="s">
        <v>24</v>
      </c>
      <c r="C9" s="6">
        <v>46</v>
      </c>
      <c r="D9" s="6"/>
      <c r="E9" s="6"/>
      <c r="F9" s="6"/>
      <c r="G9" s="6">
        <v>1</v>
      </c>
      <c r="H9" s="6"/>
      <c r="I9" s="6"/>
      <c r="J9" s="6"/>
      <c r="K9" s="6"/>
      <c r="L9" s="6"/>
      <c r="M9" s="6"/>
      <c r="N9" s="6">
        <f t="shared" si="2"/>
        <v>1</v>
      </c>
      <c r="O9" s="6">
        <f t="shared" si="0"/>
        <v>46</v>
      </c>
      <c r="P9" s="6">
        <f t="shared" si="1"/>
        <v>92</v>
      </c>
      <c r="Q9" s="6"/>
    </row>
    <row r="10" spans="1:17" x14ac:dyDescent="0.3">
      <c r="A10" s="6" t="s">
        <v>22</v>
      </c>
      <c r="B10" s="6" t="s">
        <v>25</v>
      </c>
      <c r="C10" s="6">
        <v>42</v>
      </c>
      <c r="D10" s="6"/>
      <c r="E10" s="6"/>
      <c r="F10" s="6"/>
      <c r="G10" s="6"/>
      <c r="H10" s="6"/>
      <c r="I10" s="6"/>
      <c r="J10" s="6"/>
      <c r="K10" s="6">
        <v>1</v>
      </c>
      <c r="L10" s="6"/>
      <c r="M10" s="6">
        <v>6</v>
      </c>
      <c r="N10" s="6">
        <f t="shared" si="2"/>
        <v>7</v>
      </c>
      <c r="O10" s="6">
        <f t="shared" si="0"/>
        <v>294</v>
      </c>
      <c r="P10" s="6">
        <f t="shared" si="1"/>
        <v>588</v>
      </c>
      <c r="Q10" s="6"/>
    </row>
    <row r="11" spans="1:17" x14ac:dyDescent="0.3">
      <c r="A11" s="6" t="s">
        <v>22</v>
      </c>
      <c r="B11" s="6" t="s">
        <v>26</v>
      </c>
      <c r="C11" s="6">
        <v>60</v>
      </c>
      <c r="D11" s="6"/>
      <c r="E11" s="6"/>
      <c r="F11" s="6"/>
      <c r="G11" s="6">
        <v>1</v>
      </c>
      <c r="H11" s="6"/>
      <c r="I11" s="6"/>
      <c r="J11" s="6"/>
      <c r="K11" s="6"/>
      <c r="L11" s="6"/>
      <c r="M11" s="6"/>
      <c r="N11" s="6">
        <f t="shared" si="2"/>
        <v>1</v>
      </c>
      <c r="O11" s="6">
        <f t="shared" si="0"/>
        <v>60</v>
      </c>
      <c r="P11" s="6">
        <f t="shared" si="1"/>
        <v>120</v>
      </c>
      <c r="Q11" s="6"/>
    </row>
    <row r="12" spans="1:17" x14ac:dyDescent="0.3">
      <c r="A12" s="6" t="s">
        <v>22</v>
      </c>
      <c r="B12" s="6" t="s">
        <v>27</v>
      </c>
      <c r="C12" s="6">
        <v>43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>
        <f t="shared" si="2"/>
        <v>1</v>
      </c>
      <c r="O12" s="6">
        <f t="shared" si="0"/>
        <v>43</v>
      </c>
      <c r="P12" s="6">
        <f t="shared" si="1"/>
        <v>86</v>
      </c>
      <c r="Q12" s="6">
        <v>5</v>
      </c>
    </row>
    <row r="13" spans="1:17" x14ac:dyDescent="0.3">
      <c r="A13" s="8" t="s">
        <v>125</v>
      </c>
      <c r="B13" s="8" t="s">
        <v>127</v>
      </c>
      <c r="C13" s="8">
        <v>182</v>
      </c>
      <c r="D13" s="8"/>
      <c r="E13" s="8"/>
      <c r="F13" s="8"/>
      <c r="G13" s="8"/>
      <c r="H13" s="8"/>
      <c r="I13" s="8"/>
      <c r="J13" s="8"/>
      <c r="K13" s="8"/>
      <c r="L13" s="8"/>
      <c r="M13" s="8">
        <v>1</v>
      </c>
      <c r="N13" s="8">
        <f t="shared" si="2"/>
        <v>1</v>
      </c>
      <c r="O13" s="8">
        <f t="shared" si="0"/>
        <v>182</v>
      </c>
      <c r="P13" s="8">
        <f t="shared" si="1"/>
        <v>364</v>
      </c>
      <c r="Q13" s="8">
        <v>1</v>
      </c>
    </row>
    <row r="14" spans="1:17" x14ac:dyDescent="0.3">
      <c r="A14" s="14" t="s">
        <v>28</v>
      </c>
      <c r="B14" s="14" t="s">
        <v>121</v>
      </c>
      <c r="C14" s="14">
        <v>185</v>
      </c>
      <c r="D14" s="14"/>
      <c r="E14" s="14"/>
      <c r="F14" s="14"/>
      <c r="G14" s="14"/>
      <c r="H14" s="14"/>
      <c r="I14" s="14"/>
      <c r="J14" s="14"/>
      <c r="K14" s="14"/>
      <c r="L14" s="14"/>
      <c r="M14" s="14">
        <v>1</v>
      </c>
      <c r="N14" s="14">
        <f t="shared" si="2"/>
        <v>1</v>
      </c>
      <c r="O14" s="14">
        <f t="shared" si="0"/>
        <v>185</v>
      </c>
      <c r="P14" s="14">
        <f t="shared" si="1"/>
        <v>370</v>
      </c>
      <c r="Q14" s="14"/>
    </row>
    <row r="15" spans="1:17" x14ac:dyDescent="0.3">
      <c r="A15" s="14" t="s">
        <v>28</v>
      </c>
      <c r="B15" s="14" t="s">
        <v>29</v>
      </c>
      <c r="C15" s="14">
        <v>208</v>
      </c>
      <c r="D15" s="14"/>
      <c r="E15" s="14"/>
      <c r="F15" s="14"/>
      <c r="G15" s="14"/>
      <c r="H15" s="14"/>
      <c r="I15" s="14"/>
      <c r="J15" s="14">
        <v>1</v>
      </c>
      <c r="K15" s="14"/>
      <c r="L15" s="14">
        <v>1</v>
      </c>
      <c r="M15" s="14"/>
      <c r="N15" s="14">
        <f t="shared" si="2"/>
        <v>2</v>
      </c>
      <c r="O15" s="14">
        <f t="shared" si="0"/>
        <v>416</v>
      </c>
      <c r="P15" s="14">
        <f t="shared" si="1"/>
        <v>832</v>
      </c>
      <c r="Q15" s="14">
        <v>2</v>
      </c>
    </row>
    <row r="16" spans="1:17" x14ac:dyDescent="0.3">
      <c r="A16" s="8" t="s">
        <v>30</v>
      </c>
      <c r="B16" s="8" t="s">
        <v>31</v>
      </c>
      <c r="C16" s="8">
        <v>55</v>
      </c>
      <c r="D16" s="8"/>
      <c r="E16" s="8">
        <v>1</v>
      </c>
      <c r="F16" s="8">
        <v>1</v>
      </c>
      <c r="G16" s="8"/>
      <c r="H16" s="8"/>
      <c r="I16" s="8"/>
      <c r="J16" s="8"/>
      <c r="K16" s="8"/>
      <c r="L16" s="8"/>
      <c r="M16" s="8"/>
      <c r="N16" s="8">
        <f t="shared" si="2"/>
        <v>2</v>
      </c>
      <c r="O16" s="8">
        <f t="shared" si="0"/>
        <v>110</v>
      </c>
      <c r="P16" s="8">
        <f t="shared" si="1"/>
        <v>220</v>
      </c>
      <c r="Q16" s="8"/>
    </row>
    <row r="17" spans="1:17" x14ac:dyDescent="0.3">
      <c r="A17" s="8" t="s">
        <v>30</v>
      </c>
      <c r="B17" s="8" t="s">
        <v>32</v>
      </c>
      <c r="C17" s="8">
        <v>54</v>
      </c>
      <c r="D17" s="8"/>
      <c r="E17" s="8"/>
      <c r="F17" s="8"/>
      <c r="G17" s="8">
        <v>1</v>
      </c>
      <c r="H17" s="8"/>
      <c r="I17" s="8"/>
      <c r="J17" s="8"/>
      <c r="K17" s="8"/>
      <c r="L17" s="8"/>
      <c r="M17" s="8"/>
      <c r="N17" s="8">
        <f t="shared" si="2"/>
        <v>1</v>
      </c>
      <c r="O17" s="8">
        <f t="shared" si="0"/>
        <v>54</v>
      </c>
      <c r="P17" s="8">
        <f t="shared" si="1"/>
        <v>108</v>
      </c>
      <c r="Q17" s="8"/>
    </row>
    <row r="18" spans="1:17" x14ac:dyDescent="0.3">
      <c r="A18" s="8" t="s">
        <v>30</v>
      </c>
      <c r="B18" s="8" t="s">
        <v>33</v>
      </c>
      <c r="C18" s="8">
        <v>55</v>
      </c>
      <c r="D18" s="8"/>
      <c r="E18" s="8">
        <v>1</v>
      </c>
      <c r="F18" s="8"/>
      <c r="G18" s="8"/>
      <c r="H18" s="8"/>
      <c r="I18" s="8"/>
      <c r="J18" s="8"/>
      <c r="K18" s="8"/>
      <c r="L18" s="8"/>
      <c r="M18" s="8"/>
      <c r="N18" s="8">
        <f t="shared" si="2"/>
        <v>1</v>
      </c>
      <c r="O18" s="8">
        <f t="shared" si="0"/>
        <v>55</v>
      </c>
      <c r="P18" s="8">
        <f t="shared" si="1"/>
        <v>110</v>
      </c>
      <c r="Q18" s="8"/>
    </row>
    <row r="19" spans="1:17" x14ac:dyDescent="0.3">
      <c r="A19" s="8" t="s">
        <v>30</v>
      </c>
      <c r="B19" s="8" t="s">
        <v>34</v>
      </c>
      <c r="C19" s="8">
        <v>46</v>
      </c>
      <c r="D19" s="8"/>
      <c r="E19" s="8"/>
      <c r="F19" s="8"/>
      <c r="G19" s="8"/>
      <c r="H19" s="8"/>
      <c r="I19" s="8"/>
      <c r="J19" s="8">
        <v>1</v>
      </c>
      <c r="K19" s="8"/>
      <c r="L19" s="8"/>
      <c r="M19" s="8"/>
      <c r="N19" s="8">
        <f t="shared" si="2"/>
        <v>1</v>
      </c>
      <c r="O19" s="8">
        <f t="shared" si="0"/>
        <v>46</v>
      </c>
      <c r="P19" s="8">
        <f t="shared" si="1"/>
        <v>92</v>
      </c>
      <c r="Q19" s="8"/>
    </row>
    <row r="20" spans="1:17" x14ac:dyDescent="0.3">
      <c r="A20" s="8" t="s">
        <v>30</v>
      </c>
      <c r="B20" s="8" t="s">
        <v>35</v>
      </c>
      <c r="C20" s="8">
        <v>47</v>
      </c>
      <c r="D20" s="8"/>
      <c r="E20" s="8"/>
      <c r="F20" s="8"/>
      <c r="G20" s="8"/>
      <c r="H20" s="8">
        <v>1</v>
      </c>
      <c r="I20" s="8">
        <v>2</v>
      </c>
      <c r="J20" s="8"/>
      <c r="K20" s="8">
        <v>1</v>
      </c>
      <c r="L20" s="8"/>
      <c r="M20" s="8"/>
      <c r="N20" s="8">
        <f t="shared" si="2"/>
        <v>4</v>
      </c>
      <c r="O20" s="8">
        <f t="shared" si="0"/>
        <v>188</v>
      </c>
      <c r="P20" s="8">
        <f t="shared" si="1"/>
        <v>376</v>
      </c>
      <c r="Q20" s="8">
        <v>5</v>
      </c>
    </row>
    <row r="21" spans="1:17" x14ac:dyDescent="0.3">
      <c r="A21" s="14" t="s">
        <v>98</v>
      </c>
      <c r="B21" s="14" t="s">
        <v>101</v>
      </c>
      <c r="C21" s="14">
        <v>400</v>
      </c>
      <c r="D21" s="14"/>
      <c r="E21" s="14"/>
      <c r="F21" s="14"/>
      <c r="G21" s="14"/>
      <c r="H21" s="14"/>
      <c r="I21" s="14"/>
      <c r="J21" s="14"/>
      <c r="K21" s="14"/>
      <c r="L21" s="14">
        <v>1</v>
      </c>
      <c r="M21" s="14"/>
      <c r="N21" s="14">
        <f t="shared" si="2"/>
        <v>1</v>
      </c>
      <c r="O21" s="14">
        <f t="shared" si="0"/>
        <v>400</v>
      </c>
      <c r="P21" s="14">
        <f t="shared" si="1"/>
        <v>800</v>
      </c>
      <c r="Q21" s="14">
        <v>1</v>
      </c>
    </row>
    <row r="22" spans="1:17" x14ac:dyDescent="0.3">
      <c r="A22" s="8" t="s">
        <v>36</v>
      </c>
      <c r="B22" s="8" t="s">
        <v>37</v>
      </c>
      <c r="C22" s="8">
        <v>363</v>
      </c>
      <c r="D22" s="8"/>
      <c r="E22" s="8"/>
      <c r="F22" s="8"/>
      <c r="G22" s="8"/>
      <c r="H22" s="8"/>
      <c r="I22" s="8"/>
      <c r="J22" s="8"/>
      <c r="K22" s="8">
        <v>1</v>
      </c>
      <c r="L22" s="8"/>
      <c r="M22" s="8"/>
      <c r="N22" s="8">
        <f t="shared" si="2"/>
        <v>1</v>
      </c>
      <c r="O22" s="8">
        <f t="shared" si="0"/>
        <v>363</v>
      </c>
      <c r="P22" s="8">
        <f t="shared" si="1"/>
        <v>726</v>
      </c>
      <c r="Q22" s="8">
        <v>1</v>
      </c>
    </row>
    <row r="23" spans="1:17" x14ac:dyDescent="0.3">
      <c r="A23" s="14" t="s">
        <v>94</v>
      </c>
      <c r="B23" s="14" t="s">
        <v>95</v>
      </c>
      <c r="C23" s="14">
        <v>93</v>
      </c>
      <c r="D23" s="14"/>
      <c r="E23" s="14"/>
      <c r="F23" s="14"/>
      <c r="G23" s="14"/>
      <c r="H23" s="14"/>
      <c r="I23" s="14"/>
      <c r="J23" s="14"/>
      <c r="K23" s="14"/>
      <c r="L23" s="14">
        <v>1</v>
      </c>
      <c r="M23" s="14"/>
      <c r="N23" s="14">
        <f t="shared" si="2"/>
        <v>1</v>
      </c>
      <c r="O23" s="14">
        <f t="shared" si="0"/>
        <v>93</v>
      </c>
      <c r="P23" s="14">
        <f t="shared" si="1"/>
        <v>186</v>
      </c>
      <c r="Q23" s="14">
        <v>1</v>
      </c>
    </row>
    <row r="24" spans="1:17" x14ac:dyDescent="0.3">
      <c r="A24" s="8" t="s">
        <v>122</v>
      </c>
      <c r="B24" s="8" t="s">
        <v>123</v>
      </c>
      <c r="C24" s="8">
        <v>174</v>
      </c>
      <c r="D24" s="8"/>
      <c r="E24" s="8"/>
      <c r="F24" s="8"/>
      <c r="G24" s="8"/>
      <c r="H24" s="8"/>
      <c r="I24" s="8"/>
      <c r="J24" s="8"/>
      <c r="K24" s="8"/>
      <c r="L24" s="8"/>
      <c r="M24" s="8">
        <v>1</v>
      </c>
      <c r="N24" s="8">
        <f t="shared" si="2"/>
        <v>1</v>
      </c>
      <c r="O24" s="8">
        <f t="shared" si="0"/>
        <v>174</v>
      </c>
      <c r="P24" s="8">
        <f t="shared" si="1"/>
        <v>348</v>
      </c>
      <c r="Q24" s="8">
        <v>1</v>
      </c>
    </row>
    <row r="25" spans="1:17" x14ac:dyDescent="0.3">
      <c r="A25" s="14" t="s">
        <v>99</v>
      </c>
      <c r="B25" s="14" t="s">
        <v>100</v>
      </c>
      <c r="C25" s="14">
        <v>209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209</v>
      </c>
      <c r="P25" s="14">
        <f t="shared" si="1"/>
        <v>418</v>
      </c>
      <c r="Q25" s="14">
        <v>1</v>
      </c>
    </row>
    <row r="26" spans="1:17" x14ac:dyDescent="0.3">
      <c r="A26" s="8" t="s">
        <v>38</v>
      </c>
      <c r="B26" s="8" t="s">
        <v>39</v>
      </c>
      <c r="C26" s="8">
        <v>258</v>
      </c>
      <c r="D26" s="8"/>
      <c r="E26" s="8"/>
      <c r="F26" s="8"/>
      <c r="G26" s="8"/>
      <c r="H26" s="8"/>
      <c r="I26" s="8">
        <v>1</v>
      </c>
      <c r="J26" s="8"/>
      <c r="K26" s="8"/>
      <c r="L26" s="8"/>
      <c r="M26" s="8"/>
      <c r="N26" s="8">
        <f t="shared" si="2"/>
        <v>1</v>
      </c>
      <c r="O26" s="8">
        <f t="shared" si="0"/>
        <v>258</v>
      </c>
      <c r="P26" s="8">
        <f t="shared" si="1"/>
        <v>516</v>
      </c>
      <c r="Q26" s="8">
        <v>1</v>
      </c>
    </row>
    <row r="27" spans="1:17" x14ac:dyDescent="0.3">
      <c r="A27" s="14" t="s">
        <v>40</v>
      </c>
      <c r="B27" s="14" t="s">
        <v>41</v>
      </c>
      <c r="C27" s="14">
        <v>79</v>
      </c>
      <c r="D27" s="14"/>
      <c r="E27" s="14"/>
      <c r="F27" s="14"/>
      <c r="G27" s="14"/>
      <c r="H27" s="14"/>
      <c r="I27" s="14">
        <v>1</v>
      </c>
      <c r="J27" s="14"/>
      <c r="K27" s="14">
        <v>1</v>
      </c>
      <c r="L27" s="14">
        <v>1</v>
      </c>
      <c r="M27" s="14"/>
      <c r="N27" s="14">
        <f t="shared" si="2"/>
        <v>3</v>
      </c>
      <c r="O27" s="14">
        <f t="shared" si="0"/>
        <v>237</v>
      </c>
      <c r="P27" s="14">
        <f t="shared" si="1"/>
        <v>474</v>
      </c>
      <c r="Q27" s="14"/>
    </row>
    <row r="28" spans="1:17" x14ac:dyDescent="0.3">
      <c r="A28" s="14" t="s">
        <v>40</v>
      </c>
      <c r="B28" s="14" t="s">
        <v>42</v>
      </c>
      <c r="C28" s="14">
        <v>70</v>
      </c>
      <c r="D28" s="14"/>
      <c r="E28" s="14"/>
      <c r="F28" s="14"/>
      <c r="G28" s="14"/>
      <c r="H28" s="14"/>
      <c r="I28" s="14">
        <v>2</v>
      </c>
      <c r="J28" s="14"/>
      <c r="K28" s="14"/>
      <c r="L28" s="14"/>
      <c r="M28" s="14"/>
      <c r="N28" s="14">
        <f t="shared" si="2"/>
        <v>2</v>
      </c>
      <c r="O28" s="14">
        <f t="shared" si="0"/>
        <v>140</v>
      </c>
      <c r="P28" s="14">
        <f t="shared" si="1"/>
        <v>280</v>
      </c>
      <c r="Q28" s="14"/>
    </row>
    <row r="29" spans="1:17" x14ac:dyDescent="0.3">
      <c r="A29" s="14" t="s">
        <v>40</v>
      </c>
      <c r="B29" s="14" t="s">
        <v>43</v>
      </c>
      <c r="C29" s="14">
        <v>66</v>
      </c>
      <c r="D29" s="14"/>
      <c r="E29" s="14"/>
      <c r="F29" s="14"/>
      <c r="G29" s="14"/>
      <c r="H29" s="14"/>
      <c r="I29" s="14"/>
      <c r="J29" s="14">
        <v>1</v>
      </c>
      <c r="K29" s="14">
        <v>1</v>
      </c>
      <c r="L29" s="14">
        <v>1</v>
      </c>
      <c r="M29" s="14"/>
      <c r="N29" s="14">
        <f t="shared" si="2"/>
        <v>3</v>
      </c>
      <c r="O29" s="14">
        <f t="shared" si="0"/>
        <v>198</v>
      </c>
      <c r="P29" s="14">
        <f t="shared" si="1"/>
        <v>396</v>
      </c>
      <c r="Q29" s="14">
        <v>3</v>
      </c>
    </row>
    <row r="30" spans="1:17" x14ac:dyDescent="0.3">
      <c r="A30" s="8" t="s">
        <v>44</v>
      </c>
      <c r="B30" s="8" t="s">
        <v>45</v>
      </c>
      <c r="C30" s="8">
        <v>25</v>
      </c>
      <c r="D30" s="8"/>
      <c r="E30" s="8"/>
      <c r="F30" s="8"/>
      <c r="G30" s="8"/>
      <c r="H30" s="8"/>
      <c r="I30" s="8"/>
      <c r="J30" s="8">
        <v>1</v>
      </c>
      <c r="K30" s="8">
        <v>1</v>
      </c>
      <c r="L30" s="8"/>
      <c r="M30" s="8"/>
      <c r="N30" s="8">
        <f t="shared" si="2"/>
        <v>2</v>
      </c>
      <c r="O30" s="8">
        <f t="shared" si="0"/>
        <v>50</v>
      </c>
      <c r="P30" s="8">
        <f t="shared" si="1"/>
        <v>100</v>
      </c>
      <c r="Q30" s="8"/>
    </row>
    <row r="31" spans="1:17" x14ac:dyDescent="0.3">
      <c r="A31" s="8" t="s">
        <v>44</v>
      </c>
      <c r="B31" s="8" t="s">
        <v>128</v>
      </c>
      <c r="C31" s="8">
        <v>19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>
        <f t="shared" si="2"/>
        <v>0</v>
      </c>
      <c r="O31" s="8">
        <f t="shared" si="0"/>
        <v>0</v>
      </c>
      <c r="P31" s="8">
        <f t="shared" si="1"/>
        <v>0</v>
      </c>
      <c r="Q31" s="8"/>
    </row>
    <row r="32" spans="1:17" x14ac:dyDescent="0.3">
      <c r="A32" s="8" t="s">
        <v>44</v>
      </c>
      <c r="B32" s="8" t="s">
        <v>46</v>
      </c>
      <c r="C32" s="8">
        <v>27</v>
      </c>
      <c r="D32" s="8"/>
      <c r="E32" s="8"/>
      <c r="F32" s="8"/>
      <c r="G32" s="8">
        <v>1</v>
      </c>
      <c r="H32" s="8"/>
      <c r="I32" s="8">
        <v>1</v>
      </c>
      <c r="J32" s="8">
        <v>2</v>
      </c>
      <c r="K32" s="8"/>
      <c r="L32" s="8"/>
      <c r="M32" s="8"/>
      <c r="N32" s="8">
        <f t="shared" si="2"/>
        <v>4</v>
      </c>
      <c r="O32" s="8">
        <f t="shared" si="0"/>
        <v>108</v>
      </c>
      <c r="P32" s="8">
        <f t="shared" si="1"/>
        <v>216</v>
      </c>
      <c r="Q32" s="8"/>
    </row>
    <row r="33" spans="1:17" x14ac:dyDescent="0.3">
      <c r="A33" s="8" t="s">
        <v>44</v>
      </c>
      <c r="B33" s="8" t="s">
        <v>47</v>
      </c>
      <c r="C33" s="8">
        <v>27</v>
      </c>
      <c r="D33" s="8"/>
      <c r="E33" s="8"/>
      <c r="F33" s="8"/>
      <c r="G33" s="8"/>
      <c r="H33" s="8"/>
      <c r="I33" s="8"/>
      <c r="J33" s="8"/>
      <c r="K33" s="8">
        <v>1</v>
      </c>
      <c r="L33" s="8"/>
      <c r="M33" s="8"/>
      <c r="N33" s="8">
        <f t="shared" si="2"/>
        <v>1</v>
      </c>
      <c r="O33" s="8">
        <f t="shared" si="0"/>
        <v>27</v>
      </c>
      <c r="P33" s="8">
        <f t="shared" si="1"/>
        <v>54</v>
      </c>
      <c r="Q33" s="8"/>
    </row>
    <row r="34" spans="1:17" x14ac:dyDescent="0.3">
      <c r="A34" s="8" t="s">
        <v>44</v>
      </c>
      <c r="B34" s="8" t="s">
        <v>48</v>
      </c>
      <c r="C34" s="8">
        <v>27</v>
      </c>
      <c r="D34" s="8"/>
      <c r="E34" s="8"/>
      <c r="F34" s="8">
        <v>1</v>
      </c>
      <c r="G34" s="8">
        <v>2</v>
      </c>
      <c r="H34" s="8">
        <v>1</v>
      </c>
      <c r="I34" s="8">
        <v>1</v>
      </c>
      <c r="J34" s="8"/>
      <c r="K34" s="8">
        <v>1</v>
      </c>
      <c r="L34" s="8">
        <v>1</v>
      </c>
      <c r="M34" s="8"/>
      <c r="N34" s="8">
        <f t="shared" si="2"/>
        <v>7</v>
      </c>
      <c r="O34" s="8">
        <f t="shared" si="0"/>
        <v>189</v>
      </c>
      <c r="P34" s="8">
        <f t="shared" si="1"/>
        <v>378</v>
      </c>
      <c r="Q34" s="8"/>
    </row>
    <row r="35" spans="1:17" x14ac:dyDescent="0.3">
      <c r="A35" s="8" t="s">
        <v>44</v>
      </c>
      <c r="B35" s="8" t="s">
        <v>49</v>
      </c>
      <c r="C35" s="8">
        <v>31</v>
      </c>
      <c r="D35" s="8"/>
      <c r="E35" s="8"/>
      <c r="F35" s="8"/>
      <c r="G35" s="8"/>
      <c r="H35" s="8"/>
      <c r="I35" s="8">
        <v>1</v>
      </c>
      <c r="J35" s="8"/>
      <c r="K35" s="8">
        <v>3</v>
      </c>
      <c r="L35" s="8">
        <v>2</v>
      </c>
      <c r="M35" s="8"/>
      <c r="N35" s="8">
        <f t="shared" si="2"/>
        <v>6</v>
      </c>
      <c r="O35" s="8">
        <f t="shared" si="0"/>
        <v>186</v>
      </c>
      <c r="P35" s="8">
        <f t="shared" si="1"/>
        <v>372</v>
      </c>
      <c r="Q35" s="8">
        <v>6</v>
      </c>
    </row>
    <row r="36" spans="1:17" x14ac:dyDescent="0.3">
      <c r="A36" s="14" t="s">
        <v>50</v>
      </c>
      <c r="B36" s="14" t="s">
        <v>51</v>
      </c>
      <c r="C36" s="14">
        <v>420</v>
      </c>
      <c r="D36" s="14"/>
      <c r="E36" s="14"/>
      <c r="F36" s="14"/>
      <c r="G36" s="14"/>
      <c r="H36" s="14"/>
      <c r="I36" s="14"/>
      <c r="J36" s="14"/>
      <c r="K36" s="14">
        <v>1</v>
      </c>
      <c r="L36" s="14"/>
      <c r="M36" s="14"/>
      <c r="N36" s="14">
        <f t="shared" si="2"/>
        <v>1</v>
      </c>
      <c r="O36" s="14">
        <f t="shared" si="0"/>
        <v>420</v>
      </c>
      <c r="P36" s="14">
        <f t="shared" si="1"/>
        <v>840</v>
      </c>
      <c r="Q36" s="14">
        <v>1</v>
      </c>
    </row>
    <row r="37" spans="1:17" x14ac:dyDescent="0.3">
      <c r="A37" s="8" t="s">
        <v>52</v>
      </c>
      <c r="B37" s="8" t="s">
        <v>53</v>
      </c>
      <c r="C37" s="8">
        <v>141</v>
      </c>
      <c r="D37" s="8"/>
      <c r="E37" s="8"/>
      <c r="F37" s="8"/>
      <c r="G37" s="8"/>
      <c r="H37" s="8"/>
      <c r="I37" s="8"/>
      <c r="J37" s="8"/>
      <c r="K37" s="8">
        <v>1</v>
      </c>
      <c r="L37" s="8"/>
      <c r="M37" s="8"/>
      <c r="N37" s="8">
        <f t="shared" si="2"/>
        <v>1</v>
      </c>
      <c r="O37" s="8">
        <f t="shared" si="0"/>
        <v>141</v>
      </c>
      <c r="P37" s="8">
        <f t="shared" si="1"/>
        <v>282</v>
      </c>
      <c r="Q37" s="8">
        <v>1</v>
      </c>
    </row>
    <row r="38" spans="1:17" x14ac:dyDescent="0.3">
      <c r="A38" s="14" t="s">
        <v>54</v>
      </c>
      <c r="B38" s="14" t="s">
        <v>55</v>
      </c>
      <c r="C38" s="14">
        <v>80</v>
      </c>
      <c r="D38" s="14"/>
      <c r="E38" s="14">
        <v>1</v>
      </c>
      <c r="F38" s="14">
        <v>1</v>
      </c>
      <c r="G38" s="14">
        <v>2</v>
      </c>
      <c r="H38" s="14"/>
      <c r="I38" s="14">
        <v>3</v>
      </c>
      <c r="J38" s="14">
        <v>1</v>
      </c>
      <c r="K38" s="14">
        <v>1</v>
      </c>
      <c r="L38" s="14"/>
      <c r="M38" s="14"/>
      <c r="N38" s="14">
        <f t="shared" si="2"/>
        <v>9</v>
      </c>
      <c r="O38" s="14">
        <f t="shared" si="0"/>
        <v>720</v>
      </c>
      <c r="P38" s="14">
        <f t="shared" si="1"/>
        <v>1440</v>
      </c>
      <c r="Q38" s="14">
        <v>1</v>
      </c>
    </row>
    <row r="39" spans="1:17" s="18" customFormat="1" x14ac:dyDescent="0.3">
      <c r="A39" s="8" t="s">
        <v>120</v>
      </c>
      <c r="B39" s="8" t="s">
        <v>119</v>
      </c>
      <c r="C39" s="8">
        <v>522</v>
      </c>
      <c r="D39" s="8"/>
      <c r="E39" s="8"/>
      <c r="F39" s="8"/>
      <c r="G39" s="8"/>
      <c r="H39" s="8"/>
      <c r="I39" s="8"/>
      <c r="J39" s="8"/>
      <c r="K39" s="8"/>
      <c r="L39" s="8"/>
      <c r="M39" s="8">
        <v>1</v>
      </c>
      <c r="N39" s="8">
        <f t="shared" si="2"/>
        <v>1</v>
      </c>
      <c r="O39" s="8">
        <f t="shared" si="0"/>
        <v>522</v>
      </c>
      <c r="P39" s="8">
        <f t="shared" si="1"/>
        <v>1044</v>
      </c>
      <c r="Q39" s="8">
        <v>1</v>
      </c>
    </row>
    <row r="40" spans="1:17" x14ac:dyDescent="0.3">
      <c r="A40" s="14" t="s">
        <v>56</v>
      </c>
      <c r="B40" s="14" t="s">
        <v>57</v>
      </c>
      <c r="C40" s="14">
        <v>34</v>
      </c>
      <c r="D40" s="14"/>
      <c r="E40" s="14"/>
      <c r="F40" s="14"/>
      <c r="G40" s="14">
        <v>1</v>
      </c>
      <c r="H40" s="14"/>
      <c r="I40" s="14">
        <v>2</v>
      </c>
      <c r="J40" s="14"/>
      <c r="K40" s="14">
        <v>2</v>
      </c>
      <c r="L40" s="14">
        <v>1</v>
      </c>
      <c r="M40" s="14"/>
      <c r="N40" s="14">
        <f t="shared" si="2"/>
        <v>6</v>
      </c>
      <c r="O40" s="14">
        <f t="shared" si="0"/>
        <v>204</v>
      </c>
      <c r="P40" s="14">
        <f t="shared" si="1"/>
        <v>408</v>
      </c>
      <c r="Q40" s="14"/>
    </row>
    <row r="41" spans="1:17" s="18" customFormat="1" x14ac:dyDescent="0.3">
      <c r="A41" s="14" t="s">
        <v>56</v>
      </c>
      <c r="B41" s="14" t="s">
        <v>58</v>
      </c>
      <c r="C41" s="14">
        <v>45</v>
      </c>
      <c r="D41" s="14"/>
      <c r="E41" s="14"/>
      <c r="F41" s="14">
        <v>1</v>
      </c>
      <c r="G41" s="14"/>
      <c r="H41" s="14"/>
      <c r="I41" s="14"/>
      <c r="J41" s="14"/>
      <c r="K41" s="14"/>
      <c r="L41" s="14"/>
      <c r="M41" s="14"/>
      <c r="N41" s="14">
        <f t="shared" si="2"/>
        <v>1</v>
      </c>
      <c r="O41" s="14">
        <f t="shared" si="0"/>
        <v>45</v>
      </c>
      <c r="P41" s="14">
        <f t="shared" si="1"/>
        <v>90</v>
      </c>
      <c r="Q41" s="14">
        <v>2</v>
      </c>
    </row>
    <row r="42" spans="1:17" s="18" customFormat="1" x14ac:dyDescent="0.3">
      <c r="A42" s="8" t="s">
        <v>59</v>
      </c>
      <c r="B42" s="8" t="s">
        <v>60</v>
      </c>
      <c r="C42" s="8">
        <v>132</v>
      </c>
      <c r="D42" s="8"/>
      <c r="E42" s="8"/>
      <c r="F42" s="8"/>
      <c r="G42" s="8"/>
      <c r="H42" s="8">
        <v>1</v>
      </c>
      <c r="I42" s="8"/>
      <c r="J42" s="8"/>
      <c r="K42" s="8"/>
      <c r="L42" s="8"/>
      <c r="M42" s="8"/>
      <c r="N42" s="8">
        <f t="shared" si="2"/>
        <v>1</v>
      </c>
      <c r="O42" s="8">
        <f t="shared" si="0"/>
        <v>132</v>
      </c>
      <c r="P42" s="8">
        <f t="shared" si="1"/>
        <v>264</v>
      </c>
      <c r="Q42" s="8"/>
    </row>
    <row r="43" spans="1:17" s="18" customFormat="1" x14ac:dyDescent="0.3">
      <c r="A43" s="8" t="s">
        <v>59</v>
      </c>
      <c r="B43" s="8" t="s">
        <v>61</v>
      </c>
      <c r="C43" s="8">
        <v>131</v>
      </c>
      <c r="D43" s="8"/>
      <c r="E43" s="8"/>
      <c r="F43" s="8">
        <v>1</v>
      </c>
      <c r="G43" s="8"/>
      <c r="H43" s="8"/>
      <c r="I43" s="8"/>
      <c r="J43" s="8"/>
      <c r="K43" s="8"/>
      <c r="L43" s="8"/>
      <c r="M43" s="8"/>
      <c r="N43" s="8">
        <f t="shared" si="2"/>
        <v>1</v>
      </c>
      <c r="O43" s="8">
        <f t="shared" si="0"/>
        <v>131</v>
      </c>
      <c r="P43" s="8">
        <f t="shared" si="1"/>
        <v>262</v>
      </c>
      <c r="Q43" s="8"/>
    </row>
    <row r="44" spans="1:17" s="18" customFormat="1" x14ac:dyDescent="0.3">
      <c r="A44" s="8" t="s">
        <v>59</v>
      </c>
      <c r="B44" s="8" t="s">
        <v>62</v>
      </c>
      <c r="C44" s="8">
        <v>131</v>
      </c>
      <c r="D44" s="8">
        <v>1</v>
      </c>
      <c r="E44" s="8"/>
      <c r="F44" s="8"/>
      <c r="G44" s="8"/>
      <c r="H44" s="8"/>
      <c r="I44" s="8"/>
      <c r="J44" s="8"/>
      <c r="K44" s="8">
        <v>1</v>
      </c>
      <c r="L44" s="8"/>
      <c r="M44" s="8"/>
      <c r="N44" s="8">
        <f t="shared" si="2"/>
        <v>2</v>
      </c>
      <c r="O44" s="8">
        <f t="shared" si="0"/>
        <v>262</v>
      </c>
      <c r="P44" s="8">
        <f t="shared" si="1"/>
        <v>524</v>
      </c>
      <c r="Q44" s="8">
        <v>3</v>
      </c>
    </row>
    <row r="45" spans="1:17" s="18" customFormat="1" x14ac:dyDescent="0.3">
      <c r="A45" s="14" t="s">
        <v>63</v>
      </c>
      <c r="B45" s="14" t="s">
        <v>64</v>
      </c>
      <c r="C45" s="14">
        <v>136</v>
      </c>
      <c r="D45" s="14"/>
      <c r="E45" s="14"/>
      <c r="F45" s="14"/>
      <c r="G45" s="14"/>
      <c r="H45" s="14"/>
      <c r="I45" s="14"/>
      <c r="J45" s="14">
        <v>2</v>
      </c>
      <c r="K45" s="14">
        <v>1</v>
      </c>
      <c r="L45" s="14"/>
      <c r="M45" s="14"/>
      <c r="N45" s="14">
        <f t="shared" si="2"/>
        <v>3</v>
      </c>
      <c r="O45" s="14">
        <f t="shared" si="0"/>
        <v>408</v>
      </c>
      <c r="P45" s="14">
        <f t="shared" si="1"/>
        <v>816</v>
      </c>
      <c r="Q45" s="14">
        <v>1</v>
      </c>
    </row>
    <row r="46" spans="1:17" s="18" customFormat="1" x14ac:dyDescent="0.3">
      <c r="A46" s="8" t="s">
        <v>65</v>
      </c>
      <c r="B46" s="8" t="s">
        <v>66</v>
      </c>
      <c r="C46" s="8">
        <v>133</v>
      </c>
      <c r="D46" s="8"/>
      <c r="E46" s="8"/>
      <c r="F46" s="8"/>
      <c r="G46" s="8"/>
      <c r="H46" s="8">
        <v>1</v>
      </c>
      <c r="I46" s="8"/>
      <c r="J46" s="8"/>
      <c r="K46" s="8">
        <v>1</v>
      </c>
      <c r="L46" s="8"/>
      <c r="M46" s="8"/>
      <c r="N46" s="8">
        <f t="shared" si="2"/>
        <v>2</v>
      </c>
      <c r="O46" s="8">
        <f t="shared" si="0"/>
        <v>266</v>
      </c>
      <c r="P46" s="8">
        <f t="shared" si="1"/>
        <v>532</v>
      </c>
      <c r="Q46" s="8"/>
    </row>
    <row r="47" spans="1:17" s="18" customFormat="1" x14ac:dyDescent="0.3">
      <c r="A47" s="8" t="s">
        <v>65</v>
      </c>
      <c r="B47" s="8" t="s">
        <v>67</v>
      </c>
      <c r="C47" s="8">
        <v>152</v>
      </c>
      <c r="D47" s="8"/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1</v>
      </c>
      <c r="O47" s="8">
        <f t="shared" si="0"/>
        <v>152</v>
      </c>
      <c r="P47" s="8">
        <f t="shared" si="1"/>
        <v>304</v>
      </c>
      <c r="Q47" s="8"/>
    </row>
    <row r="48" spans="1:17" s="18" customFormat="1" x14ac:dyDescent="0.3">
      <c r="A48" s="8" t="s">
        <v>65</v>
      </c>
      <c r="B48" s="8" t="s">
        <v>68</v>
      </c>
      <c r="C48" s="8">
        <v>127</v>
      </c>
      <c r="D48" s="8"/>
      <c r="E48" s="8"/>
      <c r="F48" s="8"/>
      <c r="G48" s="8"/>
      <c r="H48" s="8"/>
      <c r="I48" s="8">
        <v>1</v>
      </c>
      <c r="J48" s="8"/>
      <c r="K48" s="8"/>
      <c r="L48" s="8"/>
      <c r="M48" s="8"/>
      <c r="N48" s="8">
        <f t="shared" si="2"/>
        <v>1</v>
      </c>
      <c r="O48" s="8">
        <f t="shared" si="0"/>
        <v>127</v>
      </c>
      <c r="P48" s="8">
        <f t="shared" si="1"/>
        <v>254</v>
      </c>
      <c r="Q48" s="8"/>
    </row>
    <row r="49" spans="1:17" s="18" customFormat="1" ht="13.8" customHeight="1" x14ac:dyDescent="0.3">
      <c r="A49" s="8" t="s">
        <v>65</v>
      </c>
      <c r="B49" s="8" t="s">
        <v>69</v>
      </c>
      <c r="C49" s="8">
        <v>153</v>
      </c>
      <c r="D49" s="8"/>
      <c r="E49" s="8"/>
      <c r="F49" s="8"/>
      <c r="G49" s="8"/>
      <c r="H49" s="8"/>
      <c r="I49" s="8">
        <v>1</v>
      </c>
      <c r="J49" s="8"/>
      <c r="K49" s="8"/>
      <c r="L49" s="8"/>
      <c r="M49" s="8"/>
      <c r="N49" s="8">
        <f t="shared" si="2"/>
        <v>1</v>
      </c>
      <c r="O49" s="8">
        <f t="shared" si="0"/>
        <v>153</v>
      </c>
      <c r="P49" s="8">
        <f t="shared" si="1"/>
        <v>306</v>
      </c>
      <c r="Q49" s="8">
        <v>4</v>
      </c>
    </row>
    <row r="50" spans="1:17" s="18" customFormat="1" x14ac:dyDescent="0.3">
      <c r="A50" s="14" t="s">
        <v>70</v>
      </c>
      <c r="B50" s="14" t="s">
        <v>71</v>
      </c>
      <c r="C50" s="14">
        <v>62</v>
      </c>
      <c r="D50" s="14"/>
      <c r="E50" s="14">
        <v>1</v>
      </c>
      <c r="F50" s="14"/>
      <c r="G50" s="14"/>
      <c r="H50" s="14">
        <v>1</v>
      </c>
      <c r="I50" s="14"/>
      <c r="J50" s="14">
        <v>2</v>
      </c>
      <c r="K50" s="14"/>
      <c r="L50" s="14"/>
      <c r="M50" s="14"/>
      <c r="N50" s="14">
        <f t="shared" si="2"/>
        <v>4</v>
      </c>
      <c r="O50" s="14">
        <f t="shared" si="0"/>
        <v>248</v>
      </c>
      <c r="P50" s="14">
        <f t="shared" si="1"/>
        <v>496</v>
      </c>
      <c r="Q50" s="14"/>
    </row>
    <row r="51" spans="1:17" s="18" customFormat="1" x14ac:dyDescent="0.3">
      <c r="A51" s="14" t="s">
        <v>70</v>
      </c>
      <c r="B51" s="14" t="s">
        <v>72</v>
      </c>
      <c r="C51" s="14">
        <v>65</v>
      </c>
      <c r="D51" s="14"/>
      <c r="E51" s="14"/>
      <c r="F51" s="14"/>
      <c r="G51" s="14">
        <v>2</v>
      </c>
      <c r="H51" s="14"/>
      <c r="I51" s="14"/>
      <c r="J51" s="14"/>
      <c r="K51" s="14"/>
      <c r="L51" s="14"/>
      <c r="M51" s="14"/>
      <c r="N51" s="14">
        <f t="shared" si="2"/>
        <v>2</v>
      </c>
      <c r="O51" s="14">
        <f t="shared" si="0"/>
        <v>130</v>
      </c>
      <c r="P51" s="14">
        <f t="shared" si="1"/>
        <v>260</v>
      </c>
      <c r="Q51" s="14"/>
    </row>
    <row r="52" spans="1:17" s="18" customFormat="1" x14ac:dyDescent="0.3">
      <c r="A52" s="14" t="s">
        <v>70</v>
      </c>
      <c r="B52" s="14" t="s">
        <v>73</v>
      </c>
      <c r="C52" s="14">
        <v>62</v>
      </c>
      <c r="D52" s="14"/>
      <c r="E52" s="14"/>
      <c r="F52" s="14"/>
      <c r="G52" s="14"/>
      <c r="H52" s="14"/>
      <c r="I52" s="14"/>
      <c r="J52" s="14"/>
      <c r="K52" s="14">
        <v>1</v>
      </c>
      <c r="L52" s="14"/>
      <c r="M52" s="14"/>
      <c r="N52" s="14">
        <f t="shared" si="2"/>
        <v>1</v>
      </c>
      <c r="O52" s="14">
        <f t="shared" si="0"/>
        <v>62</v>
      </c>
      <c r="P52" s="14">
        <f t="shared" si="1"/>
        <v>124</v>
      </c>
      <c r="Q52" s="14">
        <v>3</v>
      </c>
    </row>
    <row r="53" spans="1:17" s="18" customFormat="1" x14ac:dyDescent="0.3">
      <c r="A53" s="8" t="s">
        <v>74</v>
      </c>
      <c r="B53" s="8" t="s">
        <v>75</v>
      </c>
      <c r="C53" s="8">
        <v>45</v>
      </c>
      <c r="D53" s="8"/>
      <c r="E53" s="8"/>
      <c r="F53" s="8"/>
      <c r="G53" s="8"/>
      <c r="H53" s="8"/>
      <c r="I53" s="8"/>
      <c r="J53" s="8">
        <v>1</v>
      </c>
      <c r="K53" s="8"/>
      <c r="L53" s="8"/>
      <c r="M53" s="8"/>
      <c r="N53" s="8">
        <f t="shared" si="2"/>
        <v>1</v>
      </c>
      <c r="O53" s="8">
        <f t="shared" si="0"/>
        <v>45</v>
      </c>
      <c r="P53" s="8">
        <f t="shared" si="1"/>
        <v>90</v>
      </c>
      <c r="Q53" s="8"/>
    </row>
    <row r="54" spans="1:17" s="18" customFormat="1" x14ac:dyDescent="0.3">
      <c r="A54" s="8" t="s">
        <v>74</v>
      </c>
      <c r="B54" s="8" t="s">
        <v>76</v>
      </c>
      <c r="C54" s="8">
        <v>53</v>
      </c>
      <c r="D54" s="8">
        <v>1</v>
      </c>
      <c r="E54" s="8"/>
      <c r="F54" s="8"/>
      <c r="G54" s="8"/>
      <c r="H54" s="8"/>
      <c r="I54" s="8"/>
      <c r="J54" s="8"/>
      <c r="K54" s="8"/>
      <c r="L54" s="8"/>
      <c r="M54" s="8"/>
      <c r="N54" s="8">
        <f t="shared" si="2"/>
        <v>1</v>
      </c>
      <c r="O54" s="8">
        <f t="shared" si="0"/>
        <v>53</v>
      </c>
      <c r="P54" s="8">
        <f t="shared" si="1"/>
        <v>106</v>
      </c>
      <c r="Q54" s="8"/>
    </row>
    <row r="55" spans="1:17" s="18" customFormat="1" x14ac:dyDescent="0.3">
      <c r="A55" s="8" t="s">
        <v>74</v>
      </c>
      <c r="B55" s="8" t="s">
        <v>77</v>
      </c>
      <c r="C55" s="8">
        <v>45</v>
      </c>
      <c r="D55" s="8"/>
      <c r="E55" s="8">
        <v>1</v>
      </c>
      <c r="F55" s="8"/>
      <c r="G55" s="8"/>
      <c r="H55" s="8"/>
      <c r="I55" s="8"/>
      <c r="J55" s="8"/>
      <c r="K55" s="8"/>
      <c r="L55" s="8"/>
      <c r="M55" s="8"/>
      <c r="N55" s="8">
        <f t="shared" si="2"/>
        <v>1</v>
      </c>
      <c r="O55" s="8">
        <f t="shared" si="0"/>
        <v>45</v>
      </c>
      <c r="P55" s="8">
        <f t="shared" si="1"/>
        <v>90</v>
      </c>
      <c r="Q55" s="8">
        <v>3</v>
      </c>
    </row>
    <row r="56" spans="1:17" s="18" customFormat="1" x14ac:dyDescent="0.3">
      <c r="A56" s="14" t="s">
        <v>78</v>
      </c>
      <c r="B56" s="14" t="s">
        <v>79</v>
      </c>
      <c r="C56" s="14">
        <v>20</v>
      </c>
      <c r="D56" s="14"/>
      <c r="E56" s="14"/>
      <c r="F56" s="14"/>
      <c r="G56" s="14">
        <v>2</v>
      </c>
      <c r="H56" s="14"/>
      <c r="I56" s="14">
        <v>4</v>
      </c>
      <c r="J56" s="14">
        <v>4</v>
      </c>
      <c r="K56" s="14"/>
      <c r="L56" s="14">
        <v>1</v>
      </c>
      <c r="M56" s="14"/>
      <c r="N56" s="14">
        <f t="shared" si="2"/>
        <v>11</v>
      </c>
      <c r="O56" s="14">
        <f t="shared" si="0"/>
        <v>220</v>
      </c>
      <c r="P56" s="14">
        <f t="shared" si="1"/>
        <v>440</v>
      </c>
      <c r="Q56" s="14"/>
    </row>
    <row r="57" spans="1:17" s="18" customFormat="1" x14ac:dyDescent="0.3">
      <c r="A57" s="14" t="s">
        <v>78</v>
      </c>
      <c r="B57" s="14" t="s">
        <v>80</v>
      </c>
      <c r="C57" s="14">
        <v>17</v>
      </c>
      <c r="D57" s="14"/>
      <c r="E57" s="14"/>
      <c r="F57" s="14"/>
      <c r="G57" s="14"/>
      <c r="H57" s="14"/>
      <c r="I57" s="14"/>
      <c r="J57" s="14"/>
      <c r="K57" s="14">
        <v>4</v>
      </c>
      <c r="L57" s="14">
        <v>2</v>
      </c>
      <c r="M57" s="14"/>
      <c r="N57" s="14">
        <f t="shared" si="2"/>
        <v>6</v>
      </c>
      <c r="O57" s="14">
        <f t="shared" si="0"/>
        <v>102</v>
      </c>
      <c r="P57" s="14">
        <f t="shared" si="1"/>
        <v>204</v>
      </c>
      <c r="Q57" s="14"/>
    </row>
    <row r="58" spans="1:17" s="18" customFormat="1" x14ac:dyDescent="0.3">
      <c r="A58" s="14" t="s">
        <v>78</v>
      </c>
      <c r="B58" s="14" t="s">
        <v>102</v>
      </c>
      <c r="C58" s="14">
        <v>17</v>
      </c>
      <c r="D58" s="14"/>
      <c r="E58" s="14"/>
      <c r="F58" s="14"/>
      <c r="G58" s="14"/>
      <c r="H58" s="14"/>
      <c r="I58" s="14"/>
      <c r="J58" s="14"/>
      <c r="K58" s="14"/>
      <c r="L58" s="14">
        <v>2</v>
      </c>
      <c r="M58" s="14"/>
      <c r="N58" s="14">
        <f t="shared" si="2"/>
        <v>2</v>
      </c>
      <c r="O58" s="14">
        <f t="shared" si="0"/>
        <v>34</v>
      </c>
      <c r="P58" s="14">
        <f t="shared" si="1"/>
        <v>68</v>
      </c>
      <c r="Q58" s="14">
        <v>3</v>
      </c>
    </row>
    <row r="59" spans="1:17" s="18" customFormat="1" x14ac:dyDescent="0.3">
      <c r="A59" s="8" t="s">
        <v>81</v>
      </c>
      <c r="B59" s="8" t="s">
        <v>82</v>
      </c>
      <c r="C59" s="8">
        <v>124</v>
      </c>
      <c r="D59" s="8">
        <v>1</v>
      </c>
      <c r="E59" s="8">
        <v>1</v>
      </c>
      <c r="F59" s="8">
        <v>1</v>
      </c>
      <c r="G59" s="8">
        <v>2</v>
      </c>
      <c r="H59" s="8"/>
      <c r="I59" s="8"/>
      <c r="J59" s="8"/>
      <c r="K59" s="8"/>
      <c r="L59" s="8"/>
      <c r="M59" s="8"/>
      <c r="N59" s="8">
        <f t="shared" si="2"/>
        <v>5</v>
      </c>
      <c r="O59" s="8">
        <f t="shared" si="0"/>
        <v>620</v>
      </c>
      <c r="P59" s="8">
        <f t="shared" si="1"/>
        <v>1240</v>
      </c>
      <c r="Q59" s="8">
        <v>1</v>
      </c>
    </row>
    <row r="60" spans="1:17" s="18" customFormat="1" x14ac:dyDescent="0.3">
      <c r="A60" s="14" t="s">
        <v>83</v>
      </c>
      <c r="B60" s="14" t="s">
        <v>84</v>
      </c>
      <c r="C60" s="14">
        <v>62</v>
      </c>
      <c r="D60" s="14"/>
      <c r="E60" s="14"/>
      <c r="F60" s="14"/>
      <c r="G60" s="14">
        <v>1</v>
      </c>
      <c r="H60" s="14"/>
      <c r="I60" s="14"/>
      <c r="J60" s="14">
        <v>1</v>
      </c>
      <c r="K60" s="14"/>
      <c r="L60" s="14"/>
      <c r="M60" s="14"/>
      <c r="N60" s="14">
        <f t="shared" si="2"/>
        <v>2</v>
      </c>
      <c r="O60" s="14">
        <f t="shared" si="0"/>
        <v>124</v>
      </c>
      <c r="P60" s="14">
        <f t="shared" si="1"/>
        <v>248</v>
      </c>
      <c r="Q60" s="14"/>
    </row>
    <row r="61" spans="1:17" s="18" customFormat="1" x14ac:dyDescent="0.3">
      <c r="A61" s="14" t="s">
        <v>83</v>
      </c>
      <c r="B61" s="14" t="s">
        <v>85</v>
      </c>
      <c r="C61" s="14">
        <v>59</v>
      </c>
      <c r="D61" s="14">
        <v>1</v>
      </c>
      <c r="E61" s="14"/>
      <c r="F61" s="14"/>
      <c r="G61" s="14"/>
      <c r="H61" s="14"/>
      <c r="I61" s="14"/>
      <c r="J61" s="14"/>
      <c r="K61" s="14"/>
      <c r="L61" s="14"/>
      <c r="M61" s="14"/>
      <c r="N61" s="14">
        <f t="shared" si="2"/>
        <v>1</v>
      </c>
      <c r="O61" s="14">
        <f t="shared" si="0"/>
        <v>59</v>
      </c>
      <c r="P61" s="14">
        <f t="shared" si="1"/>
        <v>118</v>
      </c>
      <c r="Q61" s="14"/>
    </row>
    <row r="62" spans="1:17" s="18" customFormat="1" x14ac:dyDescent="0.3">
      <c r="A62" s="14" t="s">
        <v>83</v>
      </c>
      <c r="B62" s="14" t="s">
        <v>86</v>
      </c>
      <c r="C62" s="14">
        <v>58</v>
      </c>
      <c r="D62" s="14"/>
      <c r="E62" s="14"/>
      <c r="F62" s="14"/>
      <c r="G62" s="14"/>
      <c r="H62" s="14"/>
      <c r="I62" s="14">
        <v>1</v>
      </c>
      <c r="J62" s="14"/>
      <c r="K62" s="14"/>
      <c r="L62" s="14"/>
      <c r="M62" s="14"/>
      <c r="N62" s="14">
        <f t="shared" si="2"/>
        <v>1</v>
      </c>
      <c r="O62" s="14">
        <f t="shared" si="0"/>
        <v>58</v>
      </c>
      <c r="P62" s="14">
        <f t="shared" si="1"/>
        <v>116</v>
      </c>
      <c r="Q62" s="14">
        <v>3</v>
      </c>
    </row>
    <row r="63" spans="1:17" s="18" customFormat="1" x14ac:dyDescent="0.3">
      <c r="A63" s="8" t="s">
        <v>87</v>
      </c>
      <c r="B63" s="8" t="s">
        <v>88</v>
      </c>
      <c r="C63" s="8">
        <v>69</v>
      </c>
      <c r="D63" s="8"/>
      <c r="E63" s="8"/>
      <c r="F63" s="8">
        <v>1</v>
      </c>
      <c r="G63" s="8"/>
      <c r="H63" s="8"/>
      <c r="I63" s="8"/>
      <c r="J63" s="8"/>
      <c r="K63" s="8">
        <f>K2*C2</f>
        <v>0</v>
      </c>
      <c r="L63" s="8"/>
      <c r="M63" s="8"/>
      <c r="N63" s="8">
        <f t="shared" si="2"/>
        <v>1</v>
      </c>
      <c r="O63" s="8">
        <f t="shared" si="0"/>
        <v>69</v>
      </c>
      <c r="P63" s="8">
        <f t="shared" si="1"/>
        <v>138</v>
      </c>
      <c r="Q63" s="8">
        <v>1</v>
      </c>
    </row>
    <row r="64" spans="1:17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 t="s">
        <v>89</v>
      </c>
      <c r="O64" s="6"/>
      <c r="P64" s="6"/>
      <c r="Q64" s="6"/>
    </row>
    <row r="65" spans="1:17" x14ac:dyDescent="0.3">
      <c r="A65" s="12" t="s">
        <v>11</v>
      </c>
      <c r="B65" s="12"/>
      <c r="C65" s="12"/>
      <c r="D65" s="12">
        <f>SUM(D2:D63)</f>
        <v>5</v>
      </c>
      <c r="E65" s="12">
        <f t="shared" ref="E65:M65" si="3">SUM(E2:E63)</f>
        <v>10</v>
      </c>
      <c r="F65" s="12">
        <f t="shared" si="3"/>
        <v>10</v>
      </c>
      <c r="G65" s="12">
        <f t="shared" si="3"/>
        <v>16</v>
      </c>
      <c r="H65" s="12">
        <f t="shared" si="3"/>
        <v>5</v>
      </c>
      <c r="I65" s="12">
        <f t="shared" si="3"/>
        <v>22</v>
      </c>
      <c r="J65" s="12">
        <f t="shared" si="3"/>
        <v>19</v>
      </c>
      <c r="K65" s="12">
        <f t="shared" si="3"/>
        <v>27</v>
      </c>
      <c r="L65" s="12">
        <f t="shared" si="3"/>
        <v>16</v>
      </c>
      <c r="M65" s="12">
        <f t="shared" si="3"/>
        <v>15</v>
      </c>
      <c r="N65" s="12">
        <f>SUM(D65:M65)</f>
        <v>145</v>
      </c>
      <c r="O65" s="12"/>
      <c r="P65" s="7">
        <f>SUM(P2:P63)</f>
        <v>22446</v>
      </c>
      <c r="Q65" s="13">
        <f>SUM(Q2:Q63)</f>
        <v>62</v>
      </c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6"/>
    </row>
    <row r="75" spans="1:17" x14ac:dyDescent="0.3">
      <c r="A75" s="7" t="s">
        <v>0</v>
      </c>
      <c r="B75" s="7" t="s">
        <v>1</v>
      </c>
      <c r="C75" s="7" t="s">
        <v>2</v>
      </c>
      <c r="D75" s="7" t="s">
        <v>3</v>
      </c>
      <c r="E75" s="7" t="s">
        <v>4</v>
      </c>
      <c r="F75" s="7" t="s">
        <v>5</v>
      </c>
      <c r="G75" s="7" t="s">
        <v>6</v>
      </c>
      <c r="H75" s="7" t="s">
        <v>7</v>
      </c>
      <c r="I75" s="7" t="s">
        <v>8</v>
      </c>
      <c r="J75" s="7" t="s">
        <v>9</v>
      </c>
      <c r="K75" s="7" t="s">
        <v>10</v>
      </c>
      <c r="L75" s="7" t="s">
        <v>93</v>
      </c>
      <c r="M75" s="9" t="s">
        <v>117</v>
      </c>
      <c r="N75" s="9"/>
      <c r="O75" s="9"/>
      <c r="P75" s="9"/>
      <c r="Q75" s="9"/>
    </row>
    <row r="76" spans="1:17" x14ac:dyDescent="0.3">
      <c r="A76" s="8" t="s">
        <v>13</v>
      </c>
      <c r="B76" s="8" t="s">
        <v>14</v>
      </c>
      <c r="C76" s="8">
        <f>C2*2</f>
        <v>16</v>
      </c>
      <c r="D76" s="8">
        <f>C76*D2</f>
        <v>0</v>
      </c>
      <c r="E76" s="8">
        <f>C76*E2</f>
        <v>0</v>
      </c>
      <c r="F76" s="8">
        <f>C76*F2</f>
        <v>0</v>
      </c>
      <c r="G76" s="8">
        <f>C76*G2</f>
        <v>0</v>
      </c>
      <c r="H76" s="8">
        <f>C76*H2</f>
        <v>0</v>
      </c>
      <c r="I76" s="8">
        <f>C76*I2</f>
        <v>0</v>
      </c>
      <c r="J76" s="8">
        <f>C76*J2</f>
        <v>16</v>
      </c>
      <c r="K76" s="8">
        <f>C76*K2</f>
        <v>0</v>
      </c>
      <c r="L76" s="8">
        <f>C76*L2</f>
        <v>16</v>
      </c>
      <c r="M76" s="8">
        <f>C76*M2</f>
        <v>16</v>
      </c>
      <c r="N76" s="8"/>
      <c r="O76" s="8"/>
      <c r="P76" s="8">
        <f>SUM(D76:M76)</f>
        <v>48</v>
      </c>
      <c r="Q76" s="8">
        <f>SUM(P76:P78)</f>
        <v>132</v>
      </c>
    </row>
    <row r="77" spans="1:17" x14ac:dyDescent="0.3">
      <c r="A77" s="8" t="s">
        <v>13</v>
      </c>
      <c r="B77" s="8" t="s">
        <v>15</v>
      </c>
      <c r="C77" s="8">
        <f>C3*2</f>
        <v>2</v>
      </c>
      <c r="D77" s="8">
        <f>C77*D3</f>
        <v>0</v>
      </c>
      <c r="E77" s="8">
        <f>C77*E3</f>
        <v>2</v>
      </c>
      <c r="F77" s="8">
        <f>C77*F3</f>
        <v>2</v>
      </c>
      <c r="G77" s="8">
        <f>C77*G3</f>
        <v>0</v>
      </c>
      <c r="H77" s="8">
        <f>C77*H3</f>
        <v>0</v>
      </c>
      <c r="I77" s="8">
        <f>C77*I3</f>
        <v>0</v>
      </c>
      <c r="J77" s="8">
        <f>C77*J3</f>
        <v>0</v>
      </c>
      <c r="K77" s="8">
        <f>C77*K3</f>
        <v>0</v>
      </c>
      <c r="L77" s="8">
        <f>C77*L3</f>
        <v>0</v>
      </c>
      <c r="M77" s="8">
        <f>C77*M3</f>
        <v>0</v>
      </c>
      <c r="N77" s="8"/>
      <c r="O77" s="8"/>
      <c r="P77" s="8">
        <f t="shared" ref="P77:P137" si="4">SUM(D77:M77)</f>
        <v>4</v>
      </c>
      <c r="Q77" s="8"/>
    </row>
    <row r="78" spans="1:17" x14ac:dyDescent="0.3">
      <c r="A78" s="8" t="s">
        <v>13</v>
      </c>
      <c r="B78" s="8" t="s">
        <v>16</v>
      </c>
      <c r="C78" s="8">
        <f>C4*2</f>
        <v>16</v>
      </c>
      <c r="D78" s="8">
        <f>C78*D4</f>
        <v>16</v>
      </c>
      <c r="E78" s="8">
        <f>C78*E4</f>
        <v>48</v>
      </c>
      <c r="F78" s="8">
        <f>C78*F4</f>
        <v>16</v>
      </c>
      <c r="G78" s="8">
        <f>C78*G4</f>
        <v>0</v>
      </c>
      <c r="H78" s="8">
        <f>C78*H4</f>
        <v>0</v>
      </c>
      <c r="I78" s="8">
        <f>C78*I4</f>
        <v>0</v>
      </c>
      <c r="J78" s="8">
        <f>C78*J4</f>
        <v>0</v>
      </c>
      <c r="K78" s="8">
        <f>C78*K4</f>
        <v>0</v>
      </c>
      <c r="L78" s="8">
        <f>C78*L4</f>
        <v>0</v>
      </c>
      <c r="M78" s="8">
        <f>C78*M4</f>
        <v>0</v>
      </c>
      <c r="N78" s="8"/>
      <c r="O78" s="8"/>
      <c r="P78" s="8">
        <f t="shared" si="4"/>
        <v>80</v>
      </c>
      <c r="Q78" s="8"/>
    </row>
    <row r="79" spans="1:17" x14ac:dyDescent="0.3">
      <c r="A79" s="6" t="s">
        <v>17</v>
      </c>
      <c r="B79" s="6" t="s">
        <v>18</v>
      </c>
      <c r="C79" s="6">
        <f>C5*2</f>
        <v>564</v>
      </c>
      <c r="D79" s="6">
        <f>C79*D5</f>
        <v>0</v>
      </c>
      <c r="E79" s="6">
        <f>C79*E5</f>
        <v>0</v>
      </c>
      <c r="F79" s="6">
        <f>C79*F5</f>
        <v>0</v>
      </c>
      <c r="G79" s="6">
        <f>C79*G5</f>
        <v>0</v>
      </c>
      <c r="H79" s="6">
        <f>C79*H5</f>
        <v>0</v>
      </c>
      <c r="I79" s="6">
        <f>C79*I5</f>
        <v>0</v>
      </c>
      <c r="J79" s="6">
        <f>C79*J5</f>
        <v>564</v>
      </c>
      <c r="K79" s="6">
        <f>C79*K5</f>
        <v>0</v>
      </c>
      <c r="L79" s="6">
        <f>C79*L5</f>
        <v>0</v>
      </c>
      <c r="M79" s="14">
        <f>C79*M5</f>
        <v>564</v>
      </c>
      <c r="N79" s="6"/>
      <c r="O79" s="6"/>
      <c r="P79" s="14">
        <f t="shared" si="4"/>
        <v>1128</v>
      </c>
      <c r="Q79" s="6">
        <f>SUM(P79)</f>
        <v>1128</v>
      </c>
    </row>
    <row r="80" spans="1:17" x14ac:dyDescent="0.3">
      <c r="A80" s="8" t="s">
        <v>19</v>
      </c>
      <c r="B80" s="8" t="s">
        <v>20</v>
      </c>
      <c r="C80" s="8">
        <f>C6*2</f>
        <v>278</v>
      </c>
      <c r="D80" s="8">
        <f>C80*D6</f>
        <v>0</v>
      </c>
      <c r="E80" s="8">
        <f>C80*E6</f>
        <v>0</v>
      </c>
      <c r="F80" s="8">
        <f>C80*F6</f>
        <v>0</v>
      </c>
      <c r="G80" s="8">
        <f>C80*G6</f>
        <v>0</v>
      </c>
      <c r="H80" s="8">
        <f>C80*H6</f>
        <v>0</v>
      </c>
      <c r="I80" s="8">
        <f>C80*I6</f>
        <v>0</v>
      </c>
      <c r="J80" s="8">
        <f>C80*J6</f>
        <v>0</v>
      </c>
      <c r="K80" s="8">
        <f>C80*K6</f>
        <v>278</v>
      </c>
      <c r="L80" s="8">
        <f>C80*L6</f>
        <v>0</v>
      </c>
      <c r="M80" s="8">
        <f>C80*M6</f>
        <v>834</v>
      </c>
      <c r="N80" s="8"/>
      <c r="O80" s="8"/>
      <c r="P80" s="8">
        <f t="shared" si="4"/>
        <v>1112</v>
      </c>
      <c r="Q80" s="8">
        <f>SUM(P80:P81)</f>
        <v>1394</v>
      </c>
    </row>
    <row r="81" spans="1:17" x14ac:dyDescent="0.3">
      <c r="A81" s="8" t="s">
        <v>19</v>
      </c>
      <c r="B81" s="8" t="s">
        <v>21</v>
      </c>
      <c r="C81" s="8">
        <f>C7*2</f>
        <v>282</v>
      </c>
      <c r="D81" s="8">
        <f>C81*D7</f>
        <v>0</v>
      </c>
      <c r="E81" s="8">
        <f>C81*E7</f>
        <v>0</v>
      </c>
      <c r="F81" s="8">
        <f>C81*F7</f>
        <v>0</v>
      </c>
      <c r="G81" s="8">
        <f>C81*G7</f>
        <v>0</v>
      </c>
      <c r="H81" s="8">
        <f>C81*H7</f>
        <v>0</v>
      </c>
      <c r="I81" s="8">
        <f>C81*I7</f>
        <v>282</v>
      </c>
      <c r="J81" s="8">
        <f>C81*J7</f>
        <v>0</v>
      </c>
      <c r="K81" s="8">
        <f>C81*K7</f>
        <v>0</v>
      </c>
      <c r="L81" s="8">
        <f>C81*L7</f>
        <v>0</v>
      </c>
      <c r="M81" s="8">
        <f>C81*M7</f>
        <v>0</v>
      </c>
      <c r="N81" s="8"/>
      <c r="O81" s="8"/>
      <c r="P81" s="8">
        <f t="shared" si="4"/>
        <v>282</v>
      </c>
      <c r="Q81" s="8"/>
    </row>
    <row r="82" spans="1:17" x14ac:dyDescent="0.3">
      <c r="A82" s="6" t="s">
        <v>22</v>
      </c>
      <c r="B82" s="6" t="s">
        <v>23</v>
      </c>
      <c r="C82" s="6">
        <f>C8*2</f>
        <v>66</v>
      </c>
      <c r="D82" s="6">
        <f>C82*D8</f>
        <v>0</v>
      </c>
      <c r="E82" s="6">
        <f>C82*E8</f>
        <v>0</v>
      </c>
      <c r="F82" s="6">
        <f>C82*F8</f>
        <v>0</v>
      </c>
      <c r="G82" s="6">
        <f>C82*G8</f>
        <v>0</v>
      </c>
      <c r="H82" s="6">
        <f>C82*H8</f>
        <v>0</v>
      </c>
      <c r="I82" s="6">
        <f>C82*I8</f>
        <v>0</v>
      </c>
      <c r="J82" s="6">
        <f>C82*J8</f>
        <v>0</v>
      </c>
      <c r="K82" s="6">
        <f>C82*K8</f>
        <v>66</v>
      </c>
      <c r="L82" s="6">
        <f>C82*L8</f>
        <v>0</v>
      </c>
      <c r="M82" s="14">
        <f>C82*M8</f>
        <v>0</v>
      </c>
      <c r="N82" s="6"/>
      <c r="O82" s="6"/>
      <c r="P82" s="14">
        <f t="shared" si="4"/>
        <v>66</v>
      </c>
      <c r="Q82" s="6">
        <f>SUM(P82:P86)</f>
        <v>952</v>
      </c>
    </row>
    <row r="83" spans="1:17" x14ac:dyDescent="0.3">
      <c r="A83" s="6" t="s">
        <v>22</v>
      </c>
      <c r="B83" s="6" t="s">
        <v>24</v>
      </c>
      <c r="C83" s="6">
        <f>C9*2</f>
        <v>92</v>
      </c>
      <c r="D83" s="6">
        <f>C83*D9</f>
        <v>0</v>
      </c>
      <c r="E83" s="6">
        <f>C83*E9</f>
        <v>0</v>
      </c>
      <c r="F83" s="6">
        <f>C83*F9</f>
        <v>0</v>
      </c>
      <c r="G83" s="6">
        <f>C83*G9</f>
        <v>92</v>
      </c>
      <c r="H83" s="6">
        <f>C83*H9</f>
        <v>0</v>
      </c>
      <c r="I83" s="6">
        <f>C83*I9</f>
        <v>0</v>
      </c>
      <c r="J83" s="6">
        <f>C83*J9</f>
        <v>0</v>
      </c>
      <c r="K83" s="6">
        <f>C83*K9</f>
        <v>0</v>
      </c>
      <c r="L83" s="6">
        <f>C83*L9</f>
        <v>0</v>
      </c>
      <c r="M83" s="14">
        <f>C83*M9</f>
        <v>0</v>
      </c>
      <c r="N83" s="6"/>
      <c r="O83" s="6"/>
      <c r="P83" s="14">
        <f t="shared" si="4"/>
        <v>92</v>
      </c>
      <c r="Q83" s="6"/>
    </row>
    <row r="84" spans="1:17" x14ac:dyDescent="0.3">
      <c r="A84" s="6" t="s">
        <v>22</v>
      </c>
      <c r="B84" s="6" t="s">
        <v>25</v>
      </c>
      <c r="C84" s="6">
        <f>C10*2</f>
        <v>84</v>
      </c>
      <c r="D84" s="6">
        <f>C84*D10</f>
        <v>0</v>
      </c>
      <c r="E84" s="6">
        <f>C84*E10</f>
        <v>0</v>
      </c>
      <c r="F84" s="6">
        <f>C84*F10</f>
        <v>0</v>
      </c>
      <c r="G84" s="6">
        <f>C84*G10</f>
        <v>0</v>
      </c>
      <c r="H84" s="6">
        <f>C84*H10</f>
        <v>0</v>
      </c>
      <c r="I84" s="6">
        <f>C84*I10</f>
        <v>0</v>
      </c>
      <c r="J84" s="6">
        <f>C84*J10</f>
        <v>0</v>
      </c>
      <c r="K84" s="6">
        <f>C84*K10</f>
        <v>84</v>
      </c>
      <c r="L84" s="6">
        <f>C84*L10</f>
        <v>0</v>
      </c>
      <c r="M84" s="14">
        <f>C84*M10</f>
        <v>504</v>
      </c>
      <c r="N84" s="6"/>
      <c r="O84" s="6"/>
      <c r="P84" s="14">
        <f t="shared" si="4"/>
        <v>588</v>
      </c>
      <c r="Q84" s="6"/>
    </row>
    <row r="85" spans="1:17" x14ac:dyDescent="0.3">
      <c r="A85" s="6" t="s">
        <v>22</v>
      </c>
      <c r="B85" s="6" t="s">
        <v>26</v>
      </c>
      <c r="C85" s="6">
        <f>C11*2</f>
        <v>120</v>
      </c>
      <c r="D85" s="6">
        <f>C85*D11</f>
        <v>0</v>
      </c>
      <c r="E85" s="6">
        <f>C85*E11</f>
        <v>0</v>
      </c>
      <c r="F85" s="6">
        <f>C85*F11</f>
        <v>0</v>
      </c>
      <c r="G85" s="6">
        <f>C85*G11</f>
        <v>120</v>
      </c>
      <c r="H85" s="6">
        <f>C85*H11</f>
        <v>0</v>
      </c>
      <c r="I85" s="6">
        <f>C85*I11</f>
        <v>0</v>
      </c>
      <c r="J85" s="6">
        <f>C85*J11</f>
        <v>0</v>
      </c>
      <c r="K85" s="6">
        <f>C85*K11</f>
        <v>0</v>
      </c>
      <c r="L85" s="6">
        <f>C85*L11</f>
        <v>0</v>
      </c>
      <c r="M85" s="14">
        <f>C85*M11</f>
        <v>0</v>
      </c>
      <c r="N85" s="6"/>
      <c r="O85" s="6"/>
      <c r="P85" s="14">
        <f t="shared" si="4"/>
        <v>120</v>
      </c>
      <c r="Q85" s="6"/>
    </row>
    <row r="86" spans="1:17" x14ac:dyDescent="0.3">
      <c r="A86" s="6" t="s">
        <v>22</v>
      </c>
      <c r="B86" s="6" t="s">
        <v>27</v>
      </c>
      <c r="C86" s="6">
        <f>C12*2</f>
        <v>86</v>
      </c>
      <c r="D86" s="6">
        <f>C86*D12</f>
        <v>0</v>
      </c>
      <c r="E86" s="6">
        <f>C86*E12</f>
        <v>0</v>
      </c>
      <c r="F86" s="6">
        <f>C86*F12</f>
        <v>86</v>
      </c>
      <c r="G86" s="6">
        <f>C86*G12</f>
        <v>0</v>
      </c>
      <c r="H86" s="6">
        <f>C86*H12</f>
        <v>0</v>
      </c>
      <c r="I86" s="6">
        <f>C86*I12</f>
        <v>0</v>
      </c>
      <c r="J86" s="6">
        <f>C86*J12</f>
        <v>0</v>
      </c>
      <c r="K86" s="6">
        <f>C86*K12</f>
        <v>0</v>
      </c>
      <c r="L86" s="6">
        <f>C86*L12</f>
        <v>0</v>
      </c>
      <c r="M86" s="14">
        <f>C86*M12</f>
        <v>0</v>
      </c>
      <c r="N86" s="6"/>
      <c r="O86" s="6"/>
      <c r="P86" s="14">
        <f t="shared" si="4"/>
        <v>86</v>
      </c>
      <c r="Q86" s="6"/>
    </row>
    <row r="87" spans="1:17" x14ac:dyDescent="0.3">
      <c r="A87" s="8" t="s">
        <v>125</v>
      </c>
      <c r="B87" s="8" t="s">
        <v>126</v>
      </c>
      <c r="C87" s="8">
        <f>C13*2</f>
        <v>364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f t="shared" ref="M87" si="5">C87*M14</f>
        <v>364</v>
      </c>
      <c r="N87" s="8"/>
      <c r="O87" s="8"/>
      <c r="P87" s="8">
        <f t="shared" si="4"/>
        <v>364</v>
      </c>
      <c r="Q87" s="8">
        <f>P87</f>
        <v>364</v>
      </c>
    </row>
    <row r="88" spans="1:17" x14ac:dyDescent="0.3">
      <c r="A88" s="14" t="s">
        <v>28</v>
      </c>
      <c r="B88" s="14" t="s">
        <v>29</v>
      </c>
      <c r="C88" s="14">
        <f>C14*2</f>
        <v>370</v>
      </c>
      <c r="D88" s="14">
        <f>C88*D14</f>
        <v>0</v>
      </c>
      <c r="E88" s="14">
        <f>C88*E14</f>
        <v>0</v>
      </c>
      <c r="F88" s="14">
        <f>C88*F14</f>
        <v>0</v>
      </c>
      <c r="G88" s="14">
        <f>C88*G14</f>
        <v>0</v>
      </c>
      <c r="H88" s="14">
        <f>D88*H14</f>
        <v>0</v>
      </c>
      <c r="I88" s="14">
        <f>C88*I14</f>
        <v>0</v>
      </c>
      <c r="J88" s="14">
        <f>C88*J14</f>
        <v>0</v>
      </c>
      <c r="K88" s="14">
        <f>C88*K14</f>
        <v>0</v>
      </c>
      <c r="L88" s="14">
        <f>C88*L14</f>
        <v>0</v>
      </c>
      <c r="M88" s="14">
        <f>C88*M14</f>
        <v>370</v>
      </c>
      <c r="N88" s="14"/>
      <c r="O88" s="14"/>
      <c r="P88" s="14">
        <f t="shared" si="4"/>
        <v>370</v>
      </c>
      <c r="Q88" s="14">
        <f>SUM(P88:P89)</f>
        <v>1202</v>
      </c>
    </row>
    <row r="89" spans="1:17" x14ac:dyDescent="0.3">
      <c r="A89" s="14" t="s">
        <v>28</v>
      </c>
      <c r="B89" s="14" t="s">
        <v>29</v>
      </c>
      <c r="C89" s="14">
        <f>C15*2</f>
        <v>416</v>
      </c>
      <c r="D89" s="14">
        <f>C89*D15</f>
        <v>0</v>
      </c>
      <c r="E89" s="14">
        <f>C89*E15</f>
        <v>0</v>
      </c>
      <c r="F89" s="14">
        <f>C89*F15</f>
        <v>0</v>
      </c>
      <c r="G89" s="14">
        <f>C89*G15</f>
        <v>0</v>
      </c>
      <c r="H89" s="14">
        <f>D89*H15</f>
        <v>0</v>
      </c>
      <c r="I89" s="14">
        <f>C89*I15</f>
        <v>0</v>
      </c>
      <c r="J89" s="14">
        <f>C89*J15</f>
        <v>416</v>
      </c>
      <c r="K89" s="14">
        <f>C89*K15</f>
        <v>0</v>
      </c>
      <c r="L89" s="14">
        <f>C89*L15</f>
        <v>416</v>
      </c>
      <c r="M89" s="14">
        <f>C89*M15</f>
        <v>0</v>
      </c>
      <c r="N89" s="14"/>
      <c r="O89" s="14"/>
      <c r="P89" s="14">
        <f t="shared" si="4"/>
        <v>832</v>
      </c>
      <c r="Q89" s="14"/>
    </row>
    <row r="90" spans="1:17" x14ac:dyDescent="0.3">
      <c r="A90" s="8" t="s">
        <v>30</v>
      </c>
      <c r="B90" s="8" t="s">
        <v>31</v>
      </c>
      <c r="C90" s="8">
        <f>C16*2</f>
        <v>110</v>
      </c>
      <c r="D90" s="8">
        <f>C90*D16</f>
        <v>0</v>
      </c>
      <c r="E90" s="8">
        <f>C90*E16</f>
        <v>110</v>
      </c>
      <c r="F90" s="8">
        <f>C90*F16</f>
        <v>110</v>
      </c>
      <c r="G90" s="8">
        <f>C90*G16</f>
        <v>0</v>
      </c>
      <c r="H90" s="8">
        <f>C90*H16</f>
        <v>0</v>
      </c>
      <c r="I90" s="8">
        <f>C90*I16</f>
        <v>0</v>
      </c>
      <c r="J90" s="8">
        <f>C90*J16</f>
        <v>0</v>
      </c>
      <c r="K90" s="8">
        <f>C90*K16</f>
        <v>0</v>
      </c>
      <c r="L90" s="8">
        <f>C90*L16</f>
        <v>0</v>
      </c>
      <c r="M90" s="8">
        <f>C90*M16</f>
        <v>0</v>
      </c>
      <c r="N90" s="8"/>
      <c r="O90" s="8"/>
      <c r="P90" s="8">
        <f t="shared" si="4"/>
        <v>220</v>
      </c>
      <c r="Q90" s="8">
        <f>SUM(P90:P94)</f>
        <v>906</v>
      </c>
    </row>
    <row r="91" spans="1:17" x14ac:dyDescent="0.3">
      <c r="A91" s="8" t="s">
        <v>30</v>
      </c>
      <c r="B91" s="8" t="s">
        <v>32</v>
      </c>
      <c r="C91" s="8">
        <f>C17*2</f>
        <v>108</v>
      </c>
      <c r="D91" s="8">
        <f>C91*D17</f>
        <v>0</v>
      </c>
      <c r="E91" s="8">
        <f>C91*E17</f>
        <v>0</v>
      </c>
      <c r="F91" s="8">
        <f>C91*F17</f>
        <v>0</v>
      </c>
      <c r="G91" s="8">
        <f>C91*G17</f>
        <v>108</v>
      </c>
      <c r="H91" s="8">
        <f>C91*H17</f>
        <v>0</v>
      </c>
      <c r="I91" s="8">
        <f>C91*I17</f>
        <v>0</v>
      </c>
      <c r="J91" s="8">
        <f>C91*J17</f>
        <v>0</v>
      </c>
      <c r="K91" s="8">
        <f>C91*K17</f>
        <v>0</v>
      </c>
      <c r="L91" s="8">
        <f>C91*L17</f>
        <v>0</v>
      </c>
      <c r="M91" s="8">
        <f>C91*M17</f>
        <v>0</v>
      </c>
      <c r="N91" s="8"/>
      <c r="O91" s="8"/>
      <c r="P91" s="8">
        <f t="shared" si="4"/>
        <v>108</v>
      </c>
      <c r="Q91" s="8"/>
    </row>
    <row r="92" spans="1:17" x14ac:dyDescent="0.3">
      <c r="A92" s="8" t="s">
        <v>30</v>
      </c>
      <c r="B92" s="8" t="s">
        <v>33</v>
      </c>
      <c r="C92" s="8">
        <f>C18*2</f>
        <v>110</v>
      </c>
      <c r="D92" s="8">
        <f>C92*D18</f>
        <v>0</v>
      </c>
      <c r="E92" s="8">
        <f>C92*E18</f>
        <v>110</v>
      </c>
      <c r="F92" s="8">
        <f>C92*F18</f>
        <v>0</v>
      </c>
      <c r="G92" s="8">
        <f>C92*G18</f>
        <v>0</v>
      </c>
      <c r="H92" s="8">
        <f>C92*H18</f>
        <v>0</v>
      </c>
      <c r="I92" s="8">
        <f>C92*I18</f>
        <v>0</v>
      </c>
      <c r="J92" s="8">
        <f>C92*J18</f>
        <v>0</v>
      </c>
      <c r="K92" s="8">
        <f>C92*K18</f>
        <v>0</v>
      </c>
      <c r="L92" s="8">
        <f>C92*L18</f>
        <v>0</v>
      </c>
      <c r="M92" s="8">
        <f>C92*M18</f>
        <v>0</v>
      </c>
      <c r="N92" s="8"/>
      <c r="O92" s="8"/>
      <c r="P92" s="8">
        <f t="shared" si="4"/>
        <v>110</v>
      </c>
      <c r="Q92" s="8"/>
    </row>
    <row r="93" spans="1:17" x14ac:dyDescent="0.3">
      <c r="A93" s="8" t="s">
        <v>30</v>
      </c>
      <c r="B93" s="8" t="s">
        <v>34</v>
      </c>
      <c r="C93" s="8">
        <f>C19*2</f>
        <v>92</v>
      </c>
      <c r="D93" s="8">
        <f>C93*D19</f>
        <v>0</v>
      </c>
      <c r="E93" s="8">
        <f>C93*E19</f>
        <v>0</v>
      </c>
      <c r="F93" s="8">
        <f>C93*F19</f>
        <v>0</v>
      </c>
      <c r="G93" s="8">
        <f>C93*G19</f>
        <v>0</v>
      </c>
      <c r="H93" s="8">
        <f>C93*H19</f>
        <v>0</v>
      </c>
      <c r="I93" s="8">
        <f>C93*I19</f>
        <v>0</v>
      </c>
      <c r="J93" s="8">
        <f>C93*J19</f>
        <v>92</v>
      </c>
      <c r="K93" s="8">
        <f>C93*K19</f>
        <v>0</v>
      </c>
      <c r="L93" s="8">
        <f>C93*L19</f>
        <v>0</v>
      </c>
      <c r="M93" s="8">
        <f>C93*M19</f>
        <v>0</v>
      </c>
      <c r="N93" s="8"/>
      <c r="O93" s="8"/>
      <c r="P93" s="8">
        <f t="shared" si="4"/>
        <v>92</v>
      </c>
      <c r="Q93" s="8"/>
    </row>
    <row r="94" spans="1:17" x14ac:dyDescent="0.3">
      <c r="A94" s="8" t="s">
        <v>30</v>
      </c>
      <c r="B94" s="8" t="s">
        <v>35</v>
      </c>
      <c r="C94" s="8">
        <f>C20*2</f>
        <v>94</v>
      </c>
      <c r="D94" s="8">
        <f>C94*D20</f>
        <v>0</v>
      </c>
      <c r="E94" s="8">
        <f>C94*E20</f>
        <v>0</v>
      </c>
      <c r="F94" s="8">
        <f>C94*F20</f>
        <v>0</v>
      </c>
      <c r="G94" s="8">
        <f>C94*G20</f>
        <v>0</v>
      </c>
      <c r="H94" s="8">
        <f>C94*H20</f>
        <v>94</v>
      </c>
      <c r="I94" s="8">
        <f>C94*I20</f>
        <v>188</v>
      </c>
      <c r="J94" s="8">
        <f>C94*J20</f>
        <v>0</v>
      </c>
      <c r="K94" s="8">
        <f>C94*K20</f>
        <v>94</v>
      </c>
      <c r="L94" s="8">
        <f>C94*L20</f>
        <v>0</v>
      </c>
      <c r="M94" s="8">
        <f>C94*M20</f>
        <v>0</v>
      </c>
      <c r="N94" s="8"/>
      <c r="O94" s="8"/>
      <c r="P94" s="8">
        <f t="shared" si="4"/>
        <v>376</v>
      </c>
      <c r="Q94" s="8"/>
    </row>
    <row r="95" spans="1:17" x14ac:dyDescent="0.3">
      <c r="A95" s="14" t="s">
        <v>98</v>
      </c>
      <c r="B95" s="14" t="s">
        <v>101</v>
      </c>
      <c r="C95" s="14">
        <f>C21*2</f>
        <v>800</v>
      </c>
      <c r="D95" s="14">
        <f>C95*D21</f>
        <v>0</v>
      </c>
      <c r="E95" s="14">
        <f>C95*E21</f>
        <v>0</v>
      </c>
      <c r="F95" s="14">
        <f>C95*F21</f>
        <v>0</v>
      </c>
      <c r="G95" s="14">
        <f>C95*G21</f>
        <v>0</v>
      </c>
      <c r="H95" s="14">
        <f>C95*H21</f>
        <v>0</v>
      </c>
      <c r="I95" s="14">
        <f>C95*I21</f>
        <v>0</v>
      </c>
      <c r="J95" s="14">
        <f>C95*J21</f>
        <v>0</v>
      </c>
      <c r="K95" s="14">
        <f>C95*K21</f>
        <v>0</v>
      </c>
      <c r="L95" s="14">
        <f>C95*L21</f>
        <v>800</v>
      </c>
      <c r="M95" s="14">
        <f>C95*M21</f>
        <v>0</v>
      </c>
      <c r="N95" s="14"/>
      <c r="O95" s="14"/>
      <c r="P95" s="14">
        <f t="shared" si="4"/>
        <v>800</v>
      </c>
      <c r="Q95" s="14">
        <f t="shared" ref="Q95:Q100" si="6">P95</f>
        <v>800</v>
      </c>
    </row>
    <row r="96" spans="1:17" x14ac:dyDescent="0.3">
      <c r="A96" s="8" t="s">
        <v>36</v>
      </c>
      <c r="B96" s="8" t="s">
        <v>37</v>
      </c>
      <c r="C96" s="8">
        <f>C22*2</f>
        <v>726</v>
      </c>
      <c r="D96" s="8">
        <f>C96*D22</f>
        <v>0</v>
      </c>
      <c r="E96" s="8">
        <f>C96*E22</f>
        <v>0</v>
      </c>
      <c r="F96" s="8">
        <f>C96*F22</f>
        <v>0</v>
      </c>
      <c r="G96" s="8">
        <f>C96*G22</f>
        <v>0</v>
      </c>
      <c r="H96" s="8">
        <f>C96*H22</f>
        <v>0</v>
      </c>
      <c r="I96" s="8">
        <f>C96*I22</f>
        <v>0</v>
      </c>
      <c r="J96" s="8">
        <f>C96*J22</f>
        <v>0</v>
      </c>
      <c r="K96" s="8">
        <f>C96*K22</f>
        <v>726</v>
      </c>
      <c r="L96" s="8">
        <f>C96*L22</f>
        <v>0</v>
      </c>
      <c r="M96" s="8">
        <f>C96*M22</f>
        <v>0</v>
      </c>
      <c r="N96" s="8"/>
      <c r="O96" s="8"/>
      <c r="P96" s="8">
        <f t="shared" si="4"/>
        <v>726</v>
      </c>
      <c r="Q96" s="8">
        <f t="shared" si="6"/>
        <v>726</v>
      </c>
    </row>
    <row r="97" spans="1:17" x14ac:dyDescent="0.3">
      <c r="A97" s="14" t="s">
        <v>96</v>
      </c>
      <c r="B97" s="14" t="s">
        <v>95</v>
      </c>
      <c r="C97" s="14">
        <f>C23*2</f>
        <v>186</v>
      </c>
      <c r="D97" s="14">
        <f>C97*D23</f>
        <v>0</v>
      </c>
      <c r="E97" s="14">
        <f>C97*E23</f>
        <v>0</v>
      </c>
      <c r="F97" s="14">
        <f>C97*F23</f>
        <v>0</v>
      </c>
      <c r="G97" s="14">
        <f>C97*G23</f>
        <v>0</v>
      </c>
      <c r="H97" s="14">
        <f>C97*H23</f>
        <v>0</v>
      </c>
      <c r="I97" s="14">
        <f>C97*I23</f>
        <v>0</v>
      </c>
      <c r="J97" s="14">
        <f>C97*J23</f>
        <v>0</v>
      </c>
      <c r="K97" s="14">
        <f>C97*K23</f>
        <v>0</v>
      </c>
      <c r="L97" s="14">
        <f>C97*L23</f>
        <v>186</v>
      </c>
      <c r="M97" s="14">
        <f>C97*M23</f>
        <v>0</v>
      </c>
      <c r="N97" s="14"/>
      <c r="O97" s="14"/>
      <c r="P97" s="14">
        <f>SUM(D97:M97)</f>
        <v>186</v>
      </c>
      <c r="Q97" s="14">
        <f>P97</f>
        <v>186</v>
      </c>
    </row>
    <row r="98" spans="1:17" x14ac:dyDescent="0.3">
      <c r="A98" s="8" t="s">
        <v>122</v>
      </c>
      <c r="B98" s="8" t="s">
        <v>123</v>
      </c>
      <c r="C98" s="8">
        <f>174*2</f>
        <v>348</v>
      </c>
      <c r="D98" s="8">
        <v>0</v>
      </c>
      <c r="E98" s="8">
        <v>0</v>
      </c>
      <c r="F98" s="8">
        <v>0</v>
      </c>
      <c r="G98" s="8">
        <v>0</v>
      </c>
      <c r="H98" s="8">
        <v>0</v>
      </c>
      <c r="I98" s="8">
        <v>0</v>
      </c>
      <c r="J98" s="8">
        <v>0</v>
      </c>
      <c r="K98" s="8">
        <v>0</v>
      </c>
      <c r="L98" s="8">
        <v>0</v>
      </c>
      <c r="M98" s="8">
        <f>C98*M24</f>
        <v>348</v>
      </c>
      <c r="N98" s="8"/>
      <c r="O98" s="8"/>
      <c r="P98" s="8">
        <f>SUM(D98:M98)</f>
        <v>348</v>
      </c>
      <c r="Q98" s="8">
        <f>P98</f>
        <v>348</v>
      </c>
    </row>
    <row r="99" spans="1:17" x14ac:dyDescent="0.3">
      <c r="A99" s="14" t="s">
        <v>99</v>
      </c>
      <c r="B99" s="14" t="s">
        <v>100</v>
      </c>
      <c r="C99" s="14">
        <f>209*2</f>
        <v>418</v>
      </c>
      <c r="D99" s="14">
        <f t="shared" ref="D99:K99" si="7">C99*D26</f>
        <v>0</v>
      </c>
      <c r="E99" s="14">
        <f t="shared" si="7"/>
        <v>0</v>
      </c>
      <c r="F99" s="14">
        <f t="shared" si="7"/>
        <v>0</v>
      </c>
      <c r="G99" s="14">
        <f t="shared" si="7"/>
        <v>0</v>
      </c>
      <c r="H99" s="14">
        <f t="shared" si="7"/>
        <v>0</v>
      </c>
      <c r="I99" s="14">
        <f t="shared" si="7"/>
        <v>0</v>
      </c>
      <c r="J99" s="14">
        <f t="shared" si="7"/>
        <v>0</v>
      </c>
      <c r="K99" s="14">
        <f t="shared" si="7"/>
        <v>0</v>
      </c>
      <c r="L99" s="14">
        <f>C99*L25</f>
        <v>418</v>
      </c>
      <c r="M99" s="14">
        <f>C99*M25</f>
        <v>0</v>
      </c>
      <c r="N99" s="14"/>
      <c r="O99" s="14"/>
      <c r="P99" s="14">
        <f t="shared" si="4"/>
        <v>418</v>
      </c>
      <c r="Q99" s="14">
        <f t="shared" si="6"/>
        <v>418</v>
      </c>
    </row>
    <row r="100" spans="1:17" x14ac:dyDescent="0.3">
      <c r="A100" s="8" t="s">
        <v>38</v>
      </c>
      <c r="B100" s="8" t="s">
        <v>39</v>
      </c>
      <c r="C100" s="8">
        <f>C26*2</f>
        <v>516</v>
      </c>
      <c r="D100" s="8">
        <f>C100*D26</f>
        <v>0</v>
      </c>
      <c r="E100" s="8">
        <f>C100*E26</f>
        <v>0</v>
      </c>
      <c r="F100" s="8">
        <f>C100*F26</f>
        <v>0</v>
      </c>
      <c r="G100" s="8">
        <f>C100*G26</f>
        <v>0</v>
      </c>
      <c r="H100" s="8">
        <f>C100*H26</f>
        <v>0</v>
      </c>
      <c r="I100" s="8">
        <f>C100*I26</f>
        <v>516</v>
      </c>
      <c r="J100" s="8">
        <f>C100*J26</f>
        <v>0</v>
      </c>
      <c r="K100" s="8">
        <f>C100*K26</f>
        <v>0</v>
      </c>
      <c r="L100" s="8">
        <f>C100*L26</f>
        <v>0</v>
      </c>
      <c r="M100" s="8">
        <f>C100*M26</f>
        <v>0</v>
      </c>
      <c r="N100" s="8"/>
      <c r="O100" s="8"/>
      <c r="P100" s="8">
        <f t="shared" si="4"/>
        <v>516</v>
      </c>
      <c r="Q100" s="8">
        <f t="shared" si="6"/>
        <v>516</v>
      </c>
    </row>
    <row r="101" spans="1:17" x14ac:dyDescent="0.3">
      <c r="A101" s="14" t="s">
        <v>40</v>
      </c>
      <c r="B101" s="14" t="s">
        <v>41</v>
      </c>
      <c r="C101" s="14">
        <f>C27*2</f>
        <v>158</v>
      </c>
      <c r="D101" s="14">
        <f>C101*D27</f>
        <v>0</v>
      </c>
      <c r="E101" s="14">
        <f>C101*E27</f>
        <v>0</v>
      </c>
      <c r="F101" s="14">
        <f>C101*F27</f>
        <v>0</v>
      </c>
      <c r="G101" s="14">
        <f>C101*G27</f>
        <v>0</v>
      </c>
      <c r="H101" s="14">
        <f>C101*H27</f>
        <v>0</v>
      </c>
      <c r="I101" s="14">
        <f>C101*I27</f>
        <v>158</v>
      </c>
      <c r="J101" s="14">
        <f>C101*J27</f>
        <v>0</v>
      </c>
      <c r="K101" s="14">
        <f>C101*K27</f>
        <v>158</v>
      </c>
      <c r="L101" s="14">
        <f>C101*L27</f>
        <v>158</v>
      </c>
      <c r="M101" s="14">
        <f>C101*M27</f>
        <v>0</v>
      </c>
      <c r="N101" s="14"/>
      <c r="O101" s="14"/>
      <c r="P101" s="14">
        <f t="shared" si="4"/>
        <v>474</v>
      </c>
      <c r="Q101" s="14">
        <f>SUM(P101:P103)</f>
        <v>1150</v>
      </c>
    </row>
    <row r="102" spans="1:17" x14ac:dyDescent="0.3">
      <c r="A102" s="14" t="s">
        <v>40</v>
      </c>
      <c r="B102" s="14" t="s">
        <v>42</v>
      </c>
      <c r="C102" s="14">
        <f>C28*2</f>
        <v>140</v>
      </c>
      <c r="D102" s="14">
        <f>C102*D28</f>
        <v>0</v>
      </c>
      <c r="E102" s="14">
        <f>C102*E28</f>
        <v>0</v>
      </c>
      <c r="F102" s="14">
        <f>C102*F28</f>
        <v>0</v>
      </c>
      <c r="G102" s="14">
        <f>C102*G28</f>
        <v>0</v>
      </c>
      <c r="H102" s="14">
        <f>C102*H28</f>
        <v>0</v>
      </c>
      <c r="I102" s="14">
        <f>C102*I28</f>
        <v>280</v>
      </c>
      <c r="J102" s="14">
        <f>C102*J28</f>
        <v>0</v>
      </c>
      <c r="K102" s="14">
        <f>C102*K28</f>
        <v>0</v>
      </c>
      <c r="L102" s="14">
        <f>C102*L28</f>
        <v>0</v>
      </c>
      <c r="M102" s="14">
        <f>C102*M28</f>
        <v>0</v>
      </c>
      <c r="N102" s="14"/>
      <c r="O102" s="14"/>
      <c r="P102" s="14">
        <f t="shared" si="4"/>
        <v>280</v>
      </c>
      <c r="Q102" s="14"/>
    </row>
    <row r="103" spans="1:17" x14ac:dyDescent="0.3">
      <c r="A103" s="14" t="s">
        <v>40</v>
      </c>
      <c r="B103" s="14" t="s">
        <v>43</v>
      </c>
      <c r="C103" s="14">
        <f>C29*2</f>
        <v>132</v>
      </c>
      <c r="D103" s="14">
        <f>C103*D29</f>
        <v>0</v>
      </c>
      <c r="E103" s="14">
        <f>C103*E29</f>
        <v>0</v>
      </c>
      <c r="F103" s="14">
        <f>C103*F29</f>
        <v>0</v>
      </c>
      <c r="G103" s="14">
        <f>C103*G29</f>
        <v>0</v>
      </c>
      <c r="H103" s="14">
        <f>C103*H29</f>
        <v>0</v>
      </c>
      <c r="I103" s="14">
        <f>C103*I29</f>
        <v>0</v>
      </c>
      <c r="J103" s="14">
        <f>C103*J29</f>
        <v>132</v>
      </c>
      <c r="K103" s="14">
        <f>C103*K29</f>
        <v>132</v>
      </c>
      <c r="L103" s="14">
        <f>C103*L29</f>
        <v>132</v>
      </c>
      <c r="M103" s="14">
        <f>C103*M29</f>
        <v>0</v>
      </c>
      <c r="N103" s="14"/>
      <c r="O103" s="14"/>
      <c r="P103" s="14">
        <f t="shared" si="4"/>
        <v>396</v>
      </c>
      <c r="Q103" s="14"/>
    </row>
    <row r="104" spans="1:17" x14ac:dyDescent="0.3">
      <c r="A104" s="8" t="s">
        <v>44</v>
      </c>
      <c r="B104" s="8" t="s">
        <v>45</v>
      </c>
      <c r="C104" s="8">
        <f>C30*2</f>
        <v>50</v>
      </c>
      <c r="D104" s="8">
        <f>C104*D30</f>
        <v>0</v>
      </c>
      <c r="E104" s="8">
        <f>C104*E30</f>
        <v>0</v>
      </c>
      <c r="F104" s="8">
        <f>C104*F30</f>
        <v>0</v>
      </c>
      <c r="G104" s="8">
        <f>C104*G30</f>
        <v>0</v>
      </c>
      <c r="H104" s="8">
        <f>C104*H30</f>
        <v>0</v>
      </c>
      <c r="I104" s="8">
        <f>C104*I30</f>
        <v>0</v>
      </c>
      <c r="J104" s="8">
        <f>C104*J30</f>
        <v>50</v>
      </c>
      <c r="K104" s="8">
        <f>C104*K30</f>
        <v>50</v>
      </c>
      <c r="L104" s="8">
        <f>C104*L30</f>
        <v>0</v>
      </c>
      <c r="M104" s="8">
        <f>C104*M30</f>
        <v>0</v>
      </c>
      <c r="N104" s="8"/>
      <c r="O104" s="8"/>
      <c r="P104" s="8">
        <f t="shared" si="4"/>
        <v>100</v>
      </c>
      <c r="Q104" s="8">
        <f>SUM(P104:P109)</f>
        <v>1120</v>
      </c>
    </row>
    <row r="105" spans="1:17" x14ac:dyDescent="0.3">
      <c r="A105" s="8" t="s">
        <v>44</v>
      </c>
      <c r="B105" s="8" t="s">
        <v>128</v>
      </c>
      <c r="C105" s="8">
        <f>C31*2</f>
        <v>38</v>
      </c>
      <c r="D105" s="8">
        <f>C105*D31</f>
        <v>0</v>
      </c>
      <c r="E105" s="8">
        <f>D105*E31</f>
        <v>0</v>
      </c>
      <c r="F105" s="8">
        <f>E105*F31</f>
        <v>0</v>
      </c>
      <c r="G105" s="8">
        <f>F105*G31</f>
        <v>0</v>
      </c>
      <c r="H105" s="8">
        <f>C105*H31</f>
        <v>0</v>
      </c>
      <c r="I105" s="8">
        <f>D105*I31</f>
        <v>0</v>
      </c>
      <c r="J105" s="8">
        <f>E105*J31</f>
        <v>0</v>
      </c>
      <c r="K105" s="8">
        <f>F105*K31</f>
        <v>0</v>
      </c>
      <c r="L105" s="8">
        <f>G105*L31</f>
        <v>0</v>
      </c>
      <c r="M105" s="8">
        <f>H105*M31</f>
        <v>0</v>
      </c>
      <c r="N105" s="8"/>
      <c r="O105" s="8"/>
      <c r="P105" s="8">
        <f t="shared" si="4"/>
        <v>0</v>
      </c>
      <c r="Q105" s="8"/>
    </row>
    <row r="106" spans="1:17" x14ac:dyDescent="0.3">
      <c r="A106" s="8" t="s">
        <v>44</v>
      </c>
      <c r="B106" s="8" t="s">
        <v>46</v>
      </c>
      <c r="C106" s="8">
        <f>C32*2</f>
        <v>54</v>
      </c>
      <c r="D106" s="8">
        <f>C106*D32</f>
        <v>0</v>
      </c>
      <c r="E106" s="8">
        <f>C106*E32</f>
        <v>0</v>
      </c>
      <c r="F106" s="8">
        <f>C106*F32</f>
        <v>0</v>
      </c>
      <c r="G106" s="8">
        <f>C106*G32</f>
        <v>54</v>
      </c>
      <c r="H106" s="8">
        <f>C106*H32</f>
        <v>0</v>
      </c>
      <c r="I106" s="8">
        <f>C106*I32</f>
        <v>54</v>
      </c>
      <c r="J106" s="8">
        <f>C106*J32</f>
        <v>108</v>
      </c>
      <c r="K106" s="8">
        <f>C106*K32</f>
        <v>0</v>
      </c>
      <c r="L106" s="8">
        <f>C106*L32</f>
        <v>0</v>
      </c>
      <c r="M106" s="8">
        <f>C106*M32</f>
        <v>0</v>
      </c>
      <c r="N106" s="19"/>
      <c r="O106" s="19"/>
      <c r="P106" s="8">
        <f t="shared" si="4"/>
        <v>216</v>
      </c>
      <c r="Q106" s="8"/>
    </row>
    <row r="107" spans="1:17" x14ac:dyDescent="0.3">
      <c r="A107" s="8" t="s">
        <v>44</v>
      </c>
      <c r="B107" s="8" t="s">
        <v>47</v>
      </c>
      <c r="C107" s="8">
        <f>C33*2</f>
        <v>54</v>
      </c>
      <c r="D107" s="8">
        <f>C107*D33</f>
        <v>0</v>
      </c>
      <c r="E107" s="8">
        <f>C107*E33</f>
        <v>0</v>
      </c>
      <c r="F107" s="8">
        <f>C107*F33</f>
        <v>0</v>
      </c>
      <c r="G107" s="8">
        <f>C107*G33</f>
        <v>0</v>
      </c>
      <c r="H107" s="8">
        <f>C107*H33</f>
        <v>0</v>
      </c>
      <c r="I107" s="8">
        <f>C107*I33</f>
        <v>0</v>
      </c>
      <c r="J107" s="8">
        <f>C107*J33</f>
        <v>0</v>
      </c>
      <c r="K107" s="8">
        <f>C107*K33</f>
        <v>54</v>
      </c>
      <c r="L107" s="8">
        <f>C107*L33</f>
        <v>0</v>
      </c>
      <c r="M107" s="8">
        <f>C107*M33</f>
        <v>0</v>
      </c>
      <c r="N107" s="8"/>
      <c r="O107" s="8"/>
      <c r="P107" s="8">
        <f t="shared" si="4"/>
        <v>54</v>
      </c>
      <c r="Q107" s="8"/>
    </row>
    <row r="108" spans="1:17" x14ac:dyDescent="0.3">
      <c r="A108" s="8" t="s">
        <v>44</v>
      </c>
      <c r="B108" s="8" t="s">
        <v>48</v>
      </c>
      <c r="C108" s="8">
        <f>C34*2</f>
        <v>54</v>
      </c>
      <c r="D108" s="8">
        <f>C108*D34</f>
        <v>0</v>
      </c>
      <c r="E108" s="8">
        <f>C108*E34</f>
        <v>0</v>
      </c>
      <c r="F108" s="8">
        <f>C108*F34</f>
        <v>54</v>
      </c>
      <c r="G108" s="8">
        <f>C108*G34</f>
        <v>108</v>
      </c>
      <c r="H108" s="8">
        <f>C108*H34</f>
        <v>54</v>
      </c>
      <c r="I108" s="8">
        <f>C108*I34</f>
        <v>54</v>
      </c>
      <c r="J108" s="8">
        <f>C108*J34</f>
        <v>0</v>
      </c>
      <c r="K108" s="8">
        <f>C108*K34</f>
        <v>54</v>
      </c>
      <c r="L108" s="8">
        <f>C108*L34</f>
        <v>54</v>
      </c>
      <c r="M108" s="8">
        <f>C108*M34</f>
        <v>0</v>
      </c>
      <c r="N108" s="8"/>
      <c r="O108" s="8"/>
      <c r="P108" s="8">
        <f t="shared" si="4"/>
        <v>378</v>
      </c>
      <c r="Q108" s="8"/>
    </row>
    <row r="109" spans="1:17" x14ac:dyDescent="0.3">
      <c r="A109" s="8" t="s">
        <v>44</v>
      </c>
      <c r="B109" s="8" t="s">
        <v>49</v>
      </c>
      <c r="C109" s="8">
        <f>C35*2</f>
        <v>62</v>
      </c>
      <c r="D109" s="8">
        <f>C109*D35</f>
        <v>0</v>
      </c>
      <c r="E109" s="8">
        <f>C109*E35</f>
        <v>0</v>
      </c>
      <c r="F109" s="8">
        <f>C109*F35</f>
        <v>0</v>
      </c>
      <c r="G109" s="8">
        <f>C109*G35</f>
        <v>0</v>
      </c>
      <c r="H109" s="8">
        <f>C109*H35</f>
        <v>0</v>
      </c>
      <c r="I109" s="8">
        <f>C109*I35</f>
        <v>62</v>
      </c>
      <c r="J109" s="8">
        <f>C109*J35</f>
        <v>0</v>
      </c>
      <c r="K109" s="8">
        <f>C109*K35</f>
        <v>186</v>
      </c>
      <c r="L109" s="8">
        <f>C109*L35</f>
        <v>124</v>
      </c>
      <c r="M109" s="8">
        <f>C109*M35</f>
        <v>0</v>
      </c>
      <c r="N109" s="8"/>
      <c r="O109" s="8"/>
      <c r="P109" s="8">
        <f t="shared" si="4"/>
        <v>372</v>
      </c>
      <c r="Q109" s="8"/>
    </row>
    <row r="110" spans="1:17" x14ac:dyDescent="0.3">
      <c r="A110" s="14" t="s">
        <v>50</v>
      </c>
      <c r="B110" s="14" t="s">
        <v>51</v>
      </c>
      <c r="C110" s="14">
        <f>C36*2</f>
        <v>840</v>
      </c>
      <c r="D110" s="14">
        <f>C110*D36</f>
        <v>0</v>
      </c>
      <c r="E110" s="14">
        <f>C110*E36</f>
        <v>0</v>
      </c>
      <c r="F110" s="14">
        <f>C110*F36</f>
        <v>0</v>
      </c>
      <c r="G110" s="14">
        <f>C110*G36</f>
        <v>0</v>
      </c>
      <c r="H110" s="14">
        <f>C110*H36</f>
        <v>0</v>
      </c>
      <c r="I110" s="14">
        <f>C110*I36</f>
        <v>0</v>
      </c>
      <c r="J110" s="14">
        <f>C110*J36</f>
        <v>0</v>
      </c>
      <c r="K110" s="14">
        <f>C110*K36</f>
        <v>840</v>
      </c>
      <c r="L110" s="14">
        <f>C110*L36</f>
        <v>0</v>
      </c>
      <c r="M110" s="14">
        <f>C110*M36</f>
        <v>0</v>
      </c>
      <c r="N110" s="14"/>
      <c r="O110" s="14"/>
      <c r="P110" s="14">
        <f t="shared" si="4"/>
        <v>840</v>
      </c>
      <c r="Q110" s="14">
        <f>P110</f>
        <v>840</v>
      </c>
    </row>
    <row r="111" spans="1:17" x14ac:dyDescent="0.3">
      <c r="A111" s="8" t="s">
        <v>52</v>
      </c>
      <c r="B111" s="8" t="s">
        <v>53</v>
      </c>
      <c r="C111" s="8">
        <f>C37*2</f>
        <v>282</v>
      </c>
      <c r="D111" s="8">
        <f>C111*D37</f>
        <v>0</v>
      </c>
      <c r="E111" s="8">
        <f>C111*E37</f>
        <v>0</v>
      </c>
      <c r="F111" s="8">
        <f>C111*F37</f>
        <v>0</v>
      </c>
      <c r="G111" s="8">
        <f>C111*G37</f>
        <v>0</v>
      </c>
      <c r="H111" s="8">
        <f>C111*H37</f>
        <v>0</v>
      </c>
      <c r="I111" s="8">
        <f>C111*I37</f>
        <v>0</v>
      </c>
      <c r="J111" s="8">
        <f>C111*J37</f>
        <v>0</v>
      </c>
      <c r="K111" s="8">
        <f>C111*K37</f>
        <v>282</v>
      </c>
      <c r="L111" s="8">
        <f>C111*L37</f>
        <v>0</v>
      </c>
      <c r="M111" s="8">
        <f>C111*M37</f>
        <v>0</v>
      </c>
      <c r="N111" s="8"/>
      <c r="O111" s="8"/>
      <c r="P111" s="8">
        <f t="shared" si="4"/>
        <v>282</v>
      </c>
      <c r="Q111" s="8">
        <f>P111</f>
        <v>282</v>
      </c>
    </row>
    <row r="112" spans="1:17" x14ac:dyDescent="0.3">
      <c r="A112" s="14" t="s">
        <v>54</v>
      </c>
      <c r="B112" s="14" t="s">
        <v>55</v>
      </c>
      <c r="C112" s="14">
        <f>C38*2</f>
        <v>160</v>
      </c>
      <c r="D112" s="14">
        <f>C112*D38</f>
        <v>0</v>
      </c>
      <c r="E112" s="14">
        <f>C112*E38</f>
        <v>160</v>
      </c>
      <c r="F112" s="14">
        <f>C112*F38</f>
        <v>160</v>
      </c>
      <c r="G112" s="14">
        <f>C112*G38</f>
        <v>320</v>
      </c>
      <c r="H112" s="14">
        <f>C112*H38</f>
        <v>0</v>
      </c>
      <c r="I112" s="14">
        <f>C112*I38</f>
        <v>480</v>
      </c>
      <c r="J112" s="14">
        <f>C112*J38</f>
        <v>160</v>
      </c>
      <c r="K112" s="14">
        <f>C112*K38</f>
        <v>160</v>
      </c>
      <c r="L112" s="14">
        <f>C112*L38</f>
        <v>0</v>
      </c>
      <c r="M112" s="14">
        <f>C112*M38</f>
        <v>0</v>
      </c>
      <c r="N112" s="14"/>
      <c r="O112" s="14"/>
      <c r="P112" s="14">
        <f t="shared" si="4"/>
        <v>1440</v>
      </c>
      <c r="Q112" s="14">
        <f>P112</f>
        <v>1440</v>
      </c>
    </row>
    <row r="113" spans="1:17" s="18" customFormat="1" x14ac:dyDescent="0.3">
      <c r="A113" s="8" t="s">
        <v>120</v>
      </c>
      <c r="B113" s="8" t="s">
        <v>119</v>
      </c>
      <c r="C113" s="8">
        <f>C39*2</f>
        <v>1044</v>
      </c>
      <c r="D113" s="8">
        <f>C113*D39</f>
        <v>0</v>
      </c>
      <c r="E113" s="8">
        <f>C113*E39</f>
        <v>0</v>
      </c>
      <c r="F113" s="8">
        <f>C113*F39</f>
        <v>0</v>
      </c>
      <c r="G113" s="8">
        <f>C113*G39</f>
        <v>0</v>
      </c>
      <c r="H113" s="8">
        <f>C113*H39</f>
        <v>0</v>
      </c>
      <c r="I113" s="8">
        <f>C113*I39</f>
        <v>0</v>
      </c>
      <c r="J113" s="8">
        <f>C113*J39</f>
        <v>0</v>
      </c>
      <c r="K113" s="8">
        <f>C113*K39</f>
        <v>0</v>
      </c>
      <c r="L113" s="8">
        <f>C113*L39</f>
        <v>0</v>
      </c>
      <c r="M113" s="8">
        <f>C113*M39</f>
        <v>1044</v>
      </c>
      <c r="N113" s="8"/>
      <c r="O113" s="8"/>
      <c r="P113" s="8">
        <f t="shared" si="4"/>
        <v>1044</v>
      </c>
      <c r="Q113" s="8">
        <f>P113</f>
        <v>1044</v>
      </c>
    </row>
    <row r="114" spans="1:17" s="18" customFormat="1" x14ac:dyDescent="0.3">
      <c r="A114" s="14" t="s">
        <v>56</v>
      </c>
      <c r="B114" s="14" t="s">
        <v>57</v>
      </c>
      <c r="C114" s="14">
        <f>C40*2</f>
        <v>68</v>
      </c>
      <c r="D114" s="14">
        <f>C114*D40</f>
        <v>0</v>
      </c>
      <c r="E114" s="14">
        <f>C114*E40</f>
        <v>0</v>
      </c>
      <c r="F114" s="14">
        <f>C114*F40</f>
        <v>0</v>
      </c>
      <c r="G114" s="14">
        <f>C114*G40</f>
        <v>68</v>
      </c>
      <c r="H114" s="14">
        <f>C114*H40</f>
        <v>0</v>
      </c>
      <c r="I114" s="14">
        <f>C114*I40</f>
        <v>136</v>
      </c>
      <c r="J114" s="14">
        <f>C114*J40</f>
        <v>0</v>
      </c>
      <c r="K114" s="14">
        <f>C114*K40</f>
        <v>136</v>
      </c>
      <c r="L114" s="14">
        <f>C114*L40</f>
        <v>68</v>
      </c>
      <c r="M114" s="14">
        <f>C114*M40</f>
        <v>0</v>
      </c>
      <c r="N114" s="14"/>
      <c r="O114" s="14"/>
      <c r="P114" s="14">
        <f t="shared" si="4"/>
        <v>408</v>
      </c>
      <c r="Q114" s="14">
        <f>SUM(P114:P115)</f>
        <v>498</v>
      </c>
    </row>
    <row r="115" spans="1:17" s="18" customFormat="1" x14ac:dyDescent="0.3">
      <c r="A115" s="14" t="s">
        <v>56</v>
      </c>
      <c r="B115" s="14" t="s">
        <v>58</v>
      </c>
      <c r="C115" s="14">
        <f>C41*2</f>
        <v>90</v>
      </c>
      <c r="D115" s="14">
        <f>C115*D41</f>
        <v>0</v>
      </c>
      <c r="E115" s="14">
        <f>C115*E41</f>
        <v>0</v>
      </c>
      <c r="F115" s="14">
        <f>C115*F41</f>
        <v>90</v>
      </c>
      <c r="G115" s="14">
        <f>C115*G41</f>
        <v>0</v>
      </c>
      <c r="H115" s="14">
        <f>C115*H41</f>
        <v>0</v>
      </c>
      <c r="I115" s="14">
        <f>C115*I41</f>
        <v>0</v>
      </c>
      <c r="J115" s="14">
        <f>C115*J41</f>
        <v>0</v>
      </c>
      <c r="K115" s="14">
        <f>C115*K41</f>
        <v>0</v>
      </c>
      <c r="L115" s="14">
        <f>C115*L41</f>
        <v>0</v>
      </c>
      <c r="M115" s="14">
        <f>C115*M41</f>
        <v>0</v>
      </c>
      <c r="N115" s="14"/>
      <c r="O115" s="14"/>
      <c r="P115" s="14">
        <f t="shared" si="4"/>
        <v>90</v>
      </c>
      <c r="Q115" s="14"/>
    </row>
    <row r="116" spans="1:17" s="18" customFormat="1" x14ac:dyDescent="0.3">
      <c r="A116" s="8" t="s">
        <v>59</v>
      </c>
      <c r="B116" s="8" t="s">
        <v>60</v>
      </c>
      <c r="C116" s="8">
        <f>C42*2</f>
        <v>264</v>
      </c>
      <c r="D116" s="8">
        <f>C116*D42</f>
        <v>0</v>
      </c>
      <c r="E116" s="8">
        <f>C116*E42</f>
        <v>0</v>
      </c>
      <c r="F116" s="8">
        <f>C116*F42</f>
        <v>0</v>
      </c>
      <c r="G116" s="8">
        <f>C116*G42</f>
        <v>0</v>
      </c>
      <c r="H116" s="8">
        <f>C116*H42</f>
        <v>264</v>
      </c>
      <c r="I116" s="8">
        <f>C116*I42</f>
        <v>0</v>
      </c>
      <c r="J116" s="8">
        <f>C116*J42</f>
        <v>0</v>
      </c>
      <c r="K116" s="8">
        <f>C116*K42</f>
        <v>0</v>
      </c>
      <c r="L116" s="8">
        <f>C116*L42</f>
        <v>0</v>
      </c>
      <c r="M116" s="8">
        <f>C116*M42</f>
        <v>0</v>
      </c>
      <c r="N116" s="8"/>
      <c r="O116" s="8"/>
      <c r="P116" s="8">
        <f t="shared" si="4"/>
        <v>264</v>
      </c>
      <c r="Q116" s="8">
        <f>SUM(P116:P118)</f>
        <v>1050</v>
      </c>
    </row>
    <row r="117" spans="1:17" s="18" customFormat="1" x14ac:dyDescent="0.3">
      <c r="A117" s="8" t="s">
        <v>59</v>
      </c>
      <c r="B117" s="8" t="s">
        <v>61</v>
      </c>
      <c r="C117" s="8">
        <f>C43*2</f>
        <v>262</v>
      </c>
      <c r="D117" s="8">
        <f>C117*D43</f>
        <v>0</v>
      </c>
      <c r="E117" s="8">
        <f>C117*E43</f>
        <v>0</v>
      </c>
      <c r="F117" s="8">
        <f>C117*F43</f>
        <v>262</v>
      </c>
      <c r="G117" s="8">
        <f>C117*G43</f>
        <v>0</v>
      </c>
      <c r="H117" s="8">
        <f>C117*H43</f>
        <v>0</v>
      </c>
      <c r="I117" s="8">
        <f>C117*I43</f>
        <v>0</v>
      </c>
      <c r="J117" s="8">
        <f>C117*J43</f>
        <v>0</v>
      </c>
      <c r="K117" s="8">
        <f>C117*K43</f>
        <v>0</v>
      </c>
      <c r="L117" s="8">
        <f>C117*L43</f>
        <v>0</v>
      </c>
      <c r="M117" s="8">
        <f>C117*M43</f>
        <v>0</v>
      </c>
      <c r="N117" s="8"/>
      <c r="O117" s="8"/>
      <c r="P117" s="8">
        <f t="shared" si="4"/>
        <v>262</v>
      </c>
      <c r="Q117" s="8"/>
    </row>
    <row r="118" spans="1:17" s="18" customFormat="1" x14ac:dyDescent="0.3">
      <c r="A118" s="8" t="s">
        <v>59</v>
      </c>
      <c r="B118" s="8" t="s">
        <v>62</v>
      </c>
      <c r="C118" s="8">
        <f>C44*2</f>
        <v>262</v>
      </c>
      <c r="D118" s="8">
        <f>C118*D44</f>
        <v>262</v>
      </c>
      <c r="E118" s="8">
        <f>C118*E44</f>
        <v>0</v>
      </c>
      <c r="F118" s="8">
        <f>C118*F44</f>
        <v>0</v>
      </c>
      <c r="G118" s="8">
        <f>C118*G44</f>
        <v>0</v>
      </c>
      <c r="H118" s="8">
        <f>C118*H44</f>
        <v>0</v>
      </c>
      <c r="I118" s="8">
        <f>C118*I44</f>
        <v>0</v>
      </c>
      <c r="J118" s="8">
        <f>C118*J44</f>
        <v>0</v>
      </c>
      <c r="K118" s="8">
        <f>C118*K44</f>
        <v>262</v>
      </c>
      <c r="L118" s="8">
        <f>C118*L44</f>
        <v>0</v>
      </c>
      <c r="M118" s="8">
        <f>C118*M44</f>
        <v>0</v>
      </c>
      <c r="N118" s="8"/>
      <c r="O118" s="8"/>
      <c r="P118" s="8">
        <f t="shared" si="4"/>
        <v>524</v>
      </c>
      <c r="Q118" s="8"/>
    </row>
    <row r="119" spans="1:17" s="18" customFormat="1" x14ac:dyDescent="0.3">
      <c r="A119" s="14" t="s">
        <v>63</v>
      </c>
      <c r="B119" s="14" t="s">
        <v>64</v>
      </c>
      <c r="C119" s="14">
        <f>C45*2</f>
        <v>272</v>
      </c>
      <c r="D119" s="14">
        <f>C119*D45</f>
        <v>0</v>
      </c>
      <c r="E119" s="14">
        <f>C119*E45</f>
        <v>0</v>
      </c>
      <c r="F119" s="14">
        <f>C119*F45</f>
        <v>0</v>
      </c>
      <c r="G119" s="14">
        <f>C119*G45</f>
        <v>0</v>
      </c>
      <c r="H119" s="14">
        <f>C119*H45</f>
        <v>0</v>
      </c>
      <c r="I119" s="14">
        <f>C119*I45</f>
        <v>0</v>
      </c>
      <c r="J119" s="14">
        <f>C119*J45</f>
        <v>544</v>
      </c>
      <c r="K119" s="14">
        <f>C119*K45</f>
        <v>272</v>
      </c>
      <c r="L119" s="14">
        <f>C119*L45</f>
        <v>0</v>
      </c>
      <c r="M119" s="14">
        <f>C119*M45</f>
        <v>0</v>
      </c>
      <c r="N119" s="14"/>
      <c r="O119" s="14"/>
      <c r="P119" s="14">
        <f t="shared" si="4"/>
        <v>816</v>
      </c>
      <c r="Q119" s="14">
        <f>P119</f>
        <v>816</v>
      </c>
    </row>
    <row r="120" spans="1:17" s="18" customFormat="1" x14ac:dyDescent="0.3">
      <c r="A120" s="8" t="s">
        <v>65</v>
      </c>
      <c r="B120" s="8" t="s">
        <v>66</v>
      </c>
      <c r="C120" s="8">
        <f>C46*2</f>
        <v>266</v>
      </c>
      <c r="D120" s="8">
        <f>C120*D46</f>
        <v>0</v>
      </c>
      <c r="E120" s="8">
        <f>C120*E46</f>
        <v>0</v>
      </c>
      <c r="F120" s="8">
        <f>C120*F46</f>
        <v>0</v>
      </c>
      <c r="G120" s="8">
        <f>C120*G46</f>
        <v>0</v>
      </c>
      <c r="H120" s="8">
        <f>C120*H46</f>
        <v>266</v>
      </c>
      <c r="I120" s="8">
        <f>C120*I46</f>
        <v>0</v>
      </c>
      <c r="J120" s="8">
        <f>C120*J46</f>
        <v>0</v>
      </c>
      <c r="K120" s="8">
        <f>C120*K46</f>
        <v>266</v>
      </c>
      <c r="L120" s="8">
        <f>C120*L46</f>
        <v>0</v>
      </c>
      <c r="M120" s="8">
        <f>C120*M46</f>
        <v>0</v>
      </c>
      <c r="N120" s="8"/>
      <c r="O120" s="8"/>
      <c r="P120" s="8">
        <f t="shared" si="4"/>
        <v>532</v>
      </c>
      <c r="Q120" s="8">
        <f>SUM(P120:P123)</f>
        <v>1396</v>
      </c>
    </row>
    <row r="121" spans="1:17" s="18" customFormat="1" x14ac:dyDescent="0.3">
      <c r="A121" s="8" t="s">
        <v>65</v>
      </c>
      <c r="B121" s="8" t="s">
        <v>67</v>
      </c>
      <c r="C121" s="8">
        <f>C47*2</f>
        <v>304</v>
      </c>
      <c r="D121" s="8">
        <f>C121*D47</f>
        <v>0</v>
      </c>
      <c r="E121" s="8">
        <f>C121*E47</f>
        <v>0</v>
      </c>
      <c r="F121" s="8">
        <f>C121*F47</f>
        <v>0</v>
      </c>
      <c r="G121" s="8">
        <f>C121*G47</f>
        <v>0</v>
      </c>
      <c r="H121" s="8">
        <f>C121*H47</f>
        <v>0</v>
      </c>
      <c r="I121" s="8">
        <f>C121*I47</f>
        <v>0</v>
      </c>
      <c r="J121" s="8">
        <f>C121*J47</f>
        <v>0</v>
      </c>
      <c r="K121" s="8">
        <f>C121*K47</f>
        <v>304</v>
      </c>
      <c r="L121" s="8">
        <f>C121*L47</f>
        <v>0</v>
      </c>
      <c r="M121" s="8">
        <f>C121*M47</f>
        <v>0</v>
      </c>
      <c r="N121" s="8"/>
      <c r="O121" s="8"/>
      <c r="P121" s="8">
        <f t="shared" si="4"/>
        <v>304</v>
      </c>
      <c r="Q121" s="8"/>
    </row>
    <row r="122" spans="1:17" s="18" customFormat="1" x14ac:dyDescent="0.3">
      <c r="A122" s="8" t="s">
        <v>65</v>
      </c>
      <c r="B122" s="8" t="s">
        <v>68</v>
      </c>
      <c r="C122" s="8">
        <f>C48*2</f>
        <v>254</v>
      </c>
      <c r="D122" s="8">
        <f>C122*D48</f>
        <v>0</v>
      </c>
      <c r="E122" s="8">
        <f>C122*E48</f>
        <v>0</v>
      </c>
      <c r="F122" s="8">
        <f>C122*F48</f>
        <v>0</v>
      </c>
      <c r="G122" s="8">
        <f>C122*G48</f>
        <v>0</v>
      </c>
      <c r="H122" s="8">
        <f>C122*H48</f>
        <v>0</v>
      </c>
      <c r="I122" s="8">
        <f>C122*I48</f>
        <v>254</v>
      </c>
      <c r="J122" s="8">
        <f>C122*J48</f>
        <v>0</v>
      </c>
      <c r="K122" s="8">
        <f>C122*K48</f>
        <v>0</v>
      </c>
      <c r="L122" s="8">
        <f>C122*L48</f>
        <v>0</v>
      </c>
      <c r="M122" s="8">
        <f>C122*M48</f>
        <v>0</v>
      </c>
      <c r="N122" s="8"/>
      <c r="O122" s="8"/>
      <c r="P122" s="8">
        <f t="shared" si="4"/>
        <v>254</v>
      </c>
      <c r="Q122" s="8"/>
    </row>
    <row r="123" spans="1:17" s="18" customFormat="1" ht="13.8" customHeight="1" x14ac:dyDescent="0.3">
      <c r="A123" s="8" t="s">
        <v>65</v>
      </c>
      <c r="B123" s="8" t="s">
        <v>69</v>
      </c>
      <c r="C123" s="8">
        <f>C49*2</f>
        <v>306</v>
      </c>
      <c r="D123" s="8">
        <f>C123*D49</f>
        <v>0</v>
      </c>
      <c r="E123" s="8">
        <f>C123*E49</f>
        <v>0</v>
      </c>
      <c r="F123" s="8">
        <f>C123*F49</f>
        <v>0</v>
      </c>
      <c r="G123" s="8">
        <f>C123*G49</f>
        <v>0</v>
      </c>
      <c r="H123" s="8">
        <f>C123*H49</f>
        <v>0</v>
      </c>
      <c r="I123" s="8">
        <f>C123*I49</f>
        <v>306</v>
      </c>
      <c r="J123" s="8">
        <f>C123*J49</f>
        <v>0</v>
      </c>
      <c r="K123" s="8">
        <f>C123*K49</f>
        <v>0</v>
      </c>
      <c r="L123" s="8">
        <f>C123*L49</f>
        <v>0</v>
      </c>
      <c r="M123" s="8">
        <f>C123*M49</f>
        <v>0</v>
      </c>
      <c r="N123" s="8"/>
      <c r="O123" s="8"/>
      <c r="P123" s="8">
        <f t="shared" si="4"/>
        <v>306</v>
      </c>
      <c r="Q123" s="8"/>
    </row>
    <row r="124" spans="1:17" s="18" customFormat="1" x14ac:dyDescent="0.3">
      <c r="A124" s="14" t="s">
        <v>70</v>
      </c>
      <c r="B124" s="14" t="s">
        <v>71</v>
      </c>
      <c r="C124" s="14">
        <f>C50*2</f>
        <v>124</v>
      </c>
      <c r="D124" s="14">
        <f>C124*D50</f>
        <v>0</v>
      </c>
      <c r="E124" s="14">
        <f>C124*E50</f>
        <v>124</v>
      </c>
      <c r="F124" s="14">
        <f>C124*F50</f>
        <v>0</v>
      </c>
      <c r="G124" s="14">
        <f>C124*G50</f>
        <v>0</v>
      </c>
      <c r="H124" s="14">
        <f>C124*H50</f>
        <v>124</v>
      </c>
      <c r="I124" s="14">
        <f>C124*I50</f>
        <v>0</v>
      </c>
      <c r="J124" s="14">
        <f>C124*J50</f>
        <v>248</v>
      </c>
      <c r="K124" s="14">
        <f>C124*K50</f>
        <v>0</v>
      </c>
      <c r="L124" s="14">
        <f>C124*L50</f>
        <v>0</v>
      </c>
      <c r="M124" s="14">
        <f>C124*M50</f>
        <v>0</v>
      </c>
      <c r="N124" s="14"/>
      <c r="O124" s="14"/>
      <c r="P124" s="14">
        <f t="shared" si="4"/>
        <v>496</v>
      </c>
      <c r="Q124" s="14">
        <f>SUM(P124:P126)</f>
        <v>880</v>
      </c>
    </row>
    <row r="125" spans="1:17" s="18" customFormat="1" x14ac:dyDescent="0.3">
      <c r="A125" s="14" t="s">
        <v>70</v>
      </c>
      <c r="B125" s="14" t="s">
        <v>72</v>
      </c>
      <c r="C125" s="14">
        <f>C51*2</f>
        <v>130</v>
      </c>
      <c r="D125" s="14">
        <f>C125*D51</f>
        <v>0</v>
      </c>
      <c r="E125" s="14">
        <f>C125*E51</f>
        <v>0</v>
      </c>
      <c r="F125" s="14">
        <f>C125*F51</f>
        <v>0</v>
      </c>
      <c r="G125" s="14">
        <f>C125*G51</f>
        <v>260</v>
      </c>
      <c r="H125" s="14">
        <f>C125*H51</f>
        <v>0</v>
      </c>
      <c r="I125" s="14">
        <f>C125*I51</f>
        <v>0</v>
      </c>
      <c r="J125" s="14">
        <f>C125*J51</f>
        <v>0</v>
      </c>
      <c r="K125" s="14">
        <f>C125*K51</f>
        <v>0</v>
      </c>
      <c r="L125" s="14">
        <f>C125*L51</f>
        <v>0</v>
      </c>
      <c r="M125" s="14">
        <f>C125*M51</f>
        <v>0</v>
      </c>
      <c r="N125" s="14"/>
      <c r="O125" s="14"/>
      <c r="P125" s="14">
        <f t="shared" si="4"/>
        <v>260</v>
      </c>
      <c r="Q125" s="14"/>
    </row>
    <row r="126" spans="1:17" s="18" customFormat="1" x14ac:dyDescent="0.3">
      <c r="A126" s="14" t="s">
        <v>70</v>
      </c>
      <c r="B126" s="14" t="s">
        <v>73</v>
      </c>
      <c r="C126" s="14">
        <f>C52*2</f>
        <v>124</v>
      </c>
      <c r="D126" s="14">
        <f>C126*D52</f>
        <v>0</v>
      </c>
      <c r="E126" s="14">
        <f>C126*E52</f>
        <v>0</v>
      </c>
      <c r="F126" s="14">
        <f>C126*F52</f>
        <v>0</v>
      </c>
      <c r="G126" s="14">
        <f>C126*G52</f>
        <v>0</v>
      </c>
      <c r="H126" s="14">
        <f>C126*H52</f>
        <v>0</v>
      </c>
      <c r="I126" s="14">
        <f>C126*I52</f>
        <v>0</v>
      </c>
      <c r="J126" s="14">
        <f>C126*J52</f>
        <v>0</v>
      </c>
      <c r="K126" s="14">
        <f>C126*K52</f>
        <v>124</v>
      </c>
      <c r="L126" s="14">
        <f>C126*L52</f>
        <v>0</v>
      </c>
      <c r="M126" s="14">
        <f>C126*M52</f>
        <v>0</v>
      </c>
      <c r="N126" s="14"/>
      <c r="O126" s="14"/>
      <c r="P126" s="14">
        <f t="shared" si="4"/>
        <v>124</v>
      </c>
      <c r="Q126" s="14"/>
    </row>
    <row r="127" spans="1:17" s="18" customFormat="1" x14ac:dyDescent="0.3">
      <c r="A127" s="14" t="s">
        <v>74</v>
      </c>
      <c r="B127" s="14" t="s">
        <v>124</v>
      </c>
      <c r="C127" s="14">
        <f>C53*2</f>
        <v>90</v>
      </c>
      <c r="D127" s="14">
        <f>C127*D53</f>
        <v>0</v>
      </c>
      <c r="E127" s="14">
        <f>C127*E53</f>
        <v>0</v>
      </c>
      <c r="F127" s="14">
        <f>C127*F53</f>
        <v>0</v>
      </c>
      <c r="G127" s="14">
        <f>C127*G53</f>
        <v>0</v>
      </c>
      <c r="H127" s="14">
        <f>C127*H53</f>
        <v>0</v>
      </c>
      <c r="I127" s="14">
        <f>C127*I53</f>
        <v>0</v>
      </c>
      <c r="J127" s="14">
        <f>C127*J53</f>
        <v>90</v>
      </c>
      <c r="K127" s="14">
        <f>C127*K53</f>
        <v>0</v>
      </c>
      <c r="L127" s="14">
        <f>C127*L53</f>
        <v>0</v>
      </c>
      <c r="M127" s="14">
        <f>C127*M53</f>
        <v>0</v>
      </c>
      <c r="N127" s="14"/>
      <c r="O127" s="14"/>
      <c r="P127" s="14">
        <f t="shared" si="4"/>
        <v>90</v>
      </c>
      <c r="Q127" s="14">
        <f>SUM(P127:P129)</f>
        <v>286</v>
      </c>
    </row>
    <row r="128" spans="1:17" s="18" customFormat="1" x14ac:dyDescent="0.3">
      <c r="A128" s="8" t="s">
        <v>74</v>
      </c>
      <c r="B128" s="8" t="s">
        <v>76</v>
      </c>
      <c r="C128" s="8">
        <f>C54*2</f>
        <v>106</v>
      </c>
      <c r="D128" s="8">
        <f>C128*D54</f>
        <v>106</v>
      </c>
      <c r="E128" s="8">
        <f>C128*E54</f>
        <v>0</v>
      </c>
      <c r="F128" s="8">
        <f>C128*F54</f>
        <v>0</v>
      </c>
      <c r="G128" s="8">
        <f>C128*G54</f>
        <v>0</v>
      </c>
      <c r="H128" s="8">
        <f>C128*H54</f>
        <v>0</v>
      </c>
      <c r="I128" s="8">
        <f>C128*I54</f>
        <v>0</v>
      </c>
      <c r="J128" s="8">
        <f>C128*J54</f>
        <v>0</v>
      </c>
      <c r="K128" s="8">
        <f>C128*K54</f>
        <v>0</v>
      </c>
      <c r="L128" s="8">
        <f>C128*L54</f>
        <v>0</v>
      </c>
      <c r="M128" s="8">
        <f>C128*M54</f>
        <v>0</v>
      </c>
      <c r="N128" s="8"/>
      <c r="O128" s="8"/>
      <c r="P128" s="8">
        <f t="shared" si="4"/>
        <v>106</v>
      </c>
      <c r="Q128" s="8"/>
    </row>
    <row r="129" spans="1:17" s="18" customFormat="1" x14ac:dyDescent="0.3">
      <c r="A129" s="8" t="s">
        <v>74</v>
      </c>
      <c r="B129" s="8" t="s">
        <v>77</v>
      </c>
      <c r="C129" s="8">
        <f>C55*2</f>
        <v>90</v>
      </c>
      <c r="D129" s="8">
        <f>C129*D55</f>
        <v>0</v>
      </c>
      <c r="E129" s="8">
        <f>C129*E55</f>
        <v>90</v>
      </c>
      <c r="F129" s="8">
        <f>C129*F55</f>
        <v>0</v>
      </c>
      <c r="G129" s="8">
        <f>C129*G55</f>
        <v>0</v>
      </c>
      <c r="H129" s="8">
        <f>C129*H55</f>
        <v>0</v>
      </c>
      <c r="I129" s="8">
        <f>C129*I55</f>
        <v>0</v>
      </c>
      <c r="J129" s="8">
        <f>C129*J55</f>
        <v>0</v>
      </c>
      <c r="K129" s="8">
        <f>C129*K55</f>
        <v>0</v>
      </c>
      <c r="L129" s="8">
        <f>C129*L55</f>
        <v>0</v>
      </c>
      <c r="M129" s="8">
        <f>C129*M55</f>
        <v>0</v>
      </c>
      <c r="N129" s="8"/>
      <c r="O129" s="8"/>
      <c r="P129" s="8">
        <f t="shared" si="4"/>
        <v>90</v>
      </c>
      <c r="Q129" s="8"/>
    </row>
    <row r="130" spans="1:17" s="18" customFormat="1" x14ac:dyDescent="0.3">
      <c r="A130" s="14" t="s">
        <v>78</v>
      </c>
      <c r="B130" s="14" t="s">
        <v>79</v>
      </c>
      <c r="C130" s="14">
        <f>C56*2</f>
        <v>40</v>
      </c>
      <c r="D130" s="14">
        <f>C130*D56</f>
        <v>0</v>
      </c>
      <c r="E130" s="14">
        <f>C130*E56</f>
        <v>0</v>
      </c>
      <c r="F130" s="14">
        <f>C130*F56</f>
        <v>0</v>
      </c>
      <c r="G130" s="14">
        <f>C130*G56</f>
        <v>80</v>
      </c>
      <c r="H130" s="14">
        <f>C130*H56</f>
        <v>0</v>
      </c>
      <c r="I130" s="14">
        <f>C130*I56</f>
        <v>160</v>
      </c>
      <c r="J130" s="14">
        <f>C130*J56</f>
        <v>160</v>
      </c>
      <c r="K130" s="14">
        <f>C130*K56</f>
        <v>0</v>
      </c>
      <c r="L130" s="14">
        <f>C130*L56</f>
        <v>40</v>
      </c>
      <c r="M130" s="14">
        <f>C130*M56</f>
        <v>0</v>
      </c>
      <c r="N130" s="14"/>
      <c r="O130" s="14"/>
      <c r="P130" s="14">
        <f t="shared" si="4"/>
        <v>440</v>
      </c>
      <c r="Q130" s="14">
        <f>SUM(P130:P132)</f>
        <v>712</v>
      </c>
    </row>
    <row r="131" spans="1:17" s="18" customFormat="1" x14ac:dyDescent="0.3">
      <c r="A131" s="14" t="s">
        <v>78</v>
      </c>
      <c r="B131" s="14" t="s">
        <v>80</v>
      </c>
      <c r="C131" s="14">
        <f>C57*2</f>
        <v>34</v>
      </c>
      <c r="D131" s="14">
        <f>C131*D57</f>
        <v>0</v>
      </c>
      <c r="E131" s="14">
        <f>C131*E57</f>
        <v>0</v>
      </c>
      <c r="F131" s="14">
        <f>C131*F57</f>
        <v>0</v>
      </c>
      <c r="G131" s="14">
        <f>C131*G57</f>
        <v>0</v>
      </c>
      <c r="H131" s="14">
        <f>C131*H57</f>
        <v>0</v>
      </c>
      <c r="I131" s="14">
        <f>C131*I57</f>
        <v>0</v>
      </c>
      <c r="J131" s="14">
        <f>C131*J57</f>
        <v>0</v>
      </c>
      <c r="K131" s="14">
        <f>C131*K57</f>
        <v>136</v>
      </c>
      <c r="L131" s="14">
        <f>C131*L57</f>
        <v>68</v>
      </c>
      <c r="M131" s="14">
        <f>C131*M57</f>
        <v>0</v>
      </c>
      <c r="N131" s="14"/>
      <c r="O131" s="14"/>
      <c r="P131" s="14">
        <f t="shared" si="4"/>
        <v>204</v>
      </c>
      <c r="Q131" s="14"/>
    </row>
    <row r="132" spans="1:17" s="18" customFormat="1" x14ac:dyDescent="0.3">
      <c r="A132" s="14" t="s">
        <v>78</v>
      </c>
      <c r="B132" s="14" t="s">
        <v>102</v>
      </c>
      <c r="C132" s="14">
        <f>C58*2</f>
        <v>34</v>
      </c>
      <c r="D132" s="14">
        <v>0</v>
      </c>
      <c r="E132" s="14">
        <v>0</v>
      </c>
      <c r="F132" s="14">
        <v>0</v>
      </c>
      <c r="G132" s="14">
        <v>0</v>
      </c>
      <c r="H132" s="14">
        <v>0</v>
      </c>
      <c r="I132" s="14">
        <v>0</v>
      </c>
      <c r="J132" s="14">
        <v>0</v>
      </c>
      <c r="K132" s="14">
        <v>0</v>
      </c>
      <c r="L132" s="14">
        <f>C132*L58</f>
        <v>68</v>
      </c>
      <c r="M132" s="14">
        <f>C132*M58</f>
        <v>0</v>
      </c>
      <c r="N132" s="14"/>
      <c r="O132" s="14"/>
      <c r="P132" s="14">
        <f t="shared" si="4"/>
        <v>68</v>
      </c>
      <c r="Q132" s="14"/>
    </row>
    <row r="133" spans="1:17" s="18" customFormat="1" x14ac:dyDescent="0.3">
      <c r="A133" s="8" t="s">
        <v>81</v>
      </c>
      <c r="B133" s="8" t="s">
        <v>82</v>
      </c>
      <c r="C133" s="8">
        <f>C59*2</f>
        <v>248</v>
      </c>
      <c r="D133" s="8">
        <f>C133*D59</f>
        <v>248</v>
      </c>
      <c r="E133" s="8">
        <f>C133*E59</f>
        <v>248</v>
      </c>
      <c r="F133" s="8">
        <f>C133*F59</f>
        <v>248</v>
      </c>
      <c r="G133" s="8">
        <f>C133*G59</f>
        <v>496</v>
      </c>
      <c r="H133" s="8">
        <f>C133*H59</f>
        <v>0</v>
      </c>
      <c r="I133" s="8">
        <f>C133*I59</f>
        <v>0</v>
      </c>
      <c r="J133" s="8">
        <f>C133*J59</f>
        <v>0</v>
      </c>
      <c r="K133" s="8">
        <f>C133*K59</f>
        <v>0</v>
      </c>
      <c r="L133" s="8">
        <f>C133*L59</f>
        <v>0</v>
      </c>
      <c r="M133" s="8">
        <f>C133*M59</f>
        <v>0</v>
      </c>
      <c r="N133" s="8"/>
      <c r="O133" s="8"/>
      <c r="P133" s="8">
        <f t="shared" si="4"/>
        <v>1240</v>
      </c>
      <c r="Q133" s="8">
        <f>SUM(P133)</f>
        <v>1240</v>
      </c>
    </row>
    <row r="134" spans="1:17" s="18" customFormat="1" x14ac:dyDescent="0.3">
      <c r="A134" s="14" t="s">
        <v>83</v>
      </c>
      <c r="B134" s="14" t="s">
        <v>84</v>
      </c>
      <c r="C134" s="14">
        <f>C60*2</f>
        <v>124</v>
      </c>
      <c r="D134" s="14">
        <f>C134*D60</f>
        <v>0</v>
      </c>
      <c r="E134" s="14">
        <f>C134*E60</f>
        <v>0</v>
      </c>
      <c r="F134" s="14">
        <f>C134*F60</f>
        <v>0</v>
      </c>
      <c r="G134" s="14">
        <f>C134*G60</f>
        <v>124</v>
      </c>
      <c r="H134" s="14">
        <f>C134*H60</f>
        <v>0</v>
      </c>
      <c r="I134" s="14">
        <f>C134*I60</f>
        <v>0</v>
      </c>
      <c r="J134" s="14">
        <f>C134*J60</f>
        <v>124</v>
      </c>
      <c r="K134" s="14">
        <f>C134*K60</f>
        <v>0</v>
      </c>
      <c r="L134" s="14">
        <f>C134*L60</f>
        <v>0</v>
      </c>
      <c r="M134" s="14">
        <f>C134*M60</f>
        <v>0</v>
      </c>
      <c r="N134" s="14"/>
      <c r="O134" s="14"/>
      <c r="P134" s="14">
        <f t="shared" si="4"/>
        <v>248</v>
      </c>
      <c r="Q134" s="14">
        <f>SUM(P134:P136)</f>
        <v>482</v>
      </c>
    </row>
    <row r="135" spans="1:17" s="18" customFormat="1" x14ac:dyDescent="0.3">
      <c r="A135" s="14" t="s">
        <v>83</v>
      </c>
      <c r="B135" s="14" t="s">
        <v>85</v>
      </c>
      <c r="C135" s="14">
        <f>C61*2</f>
        <v>118</v>
      </c>
      <c r="D135" s="14">
        <f>C135*D61</f>
        <v>118</v>
      </c>
      <c r="E135" s="14">
        <f>C135*E61</f>
        <v>0</v>
      </c>
      <c r="F135" s="14">
        <f>C135*F61</f>
        <v>0</v>
      </c>
      <c r="G135" s="14">
        <f>C135*G61</f>
        <v>0</v>
      </c>
      <c r="H135" s="14">
        <f>C135*H61</f>
        <v>0</v>
      </c>
      <c r="I135" s="14">
        <f>C135*I61</f>
        <v>0</v>
      </c>
      <c r="J135" s="14">
        <f>C135*J61</f>
        <v>0</v>
      </c>
      <c r="K135" s="14">
        <f>C135*K61</f>
        <v>0</v>
      </c>
      <c r="L135" s="14">
        <f>C135*L61</f>
        <v>0</v>
      </c>
      <c r="M135" s="14">
        <f>C135*M61</f>
        <v>0</v>
      </c>
      <c r="N135" s="14"/>
      <c r="O135" s="14"/>
      <c r="P135" s="14">
        <f t="shared" si="4"/>
        <v>118</v>
      </c>
      <c r="Q135" s="14"/>
    </row>
    <row r="136" spans="1:17" s="18" customFormat="1" x14ac:dyDescent="0.3">
      <c r="A136" s="14" t="s">
        <v>83</v>
      </c>
      <c r="B136" s="14" t="s">
        <v>86</v>
      </c>
      <c r="C136" s="14">
        <f>C62*2</f>
        <v>116</v>
      </c>
      <c r="D136" s="14">
        <f>C136*D62</f>
        <v>0</v>
      </c>
      <c r="E136" s="14">
        <f>C136*E62</f>
        <v>0</v>
      </c>
      <c r="F136" s="14">
        <f>C136*F62</f>
        <v>0</v>
      </c>
      <c r="G136" s="14">
        <f>C136*G62</f>
        <v>0</v>
      </c>
      <c r="H136" s="14">
        <f>C136*H62</f>
        <v>0</v>
      </c>
      <c r="I136" s="14">
        <f>C136*I62</f>
        <v>116</v>
      </c>
      <c r="J136" s="14">
        <f>C136*J62</f>
        <v>0</v>
      </c>
      <c r="K136" s="14">
        <f>C136*K62</f>
        <v>0</v>
      </c>
      <c r="L136" s="14">
        <f>C136*L62</f>
        <v>0</v>
      </c>
      <c r="M136" s="14">
        <f>C136*M62</f>
        <v>0</v>
      </c>
      <c r="N136" s="14"/>
      <c r="O136" s="14"/>
      <c r="P136" s="14">
        <f t="shared" si="4"/>
        <v>116</v>
      </c>
      <c r="Q136" s="14"/>
    </row>
    <row r="137" spans="1:17" s="18" customFormat="1" x14ac:dyDescent="0.3">
      <c r="A137" s="8" t="s">
        <v>87</v>
      </c>
      <c r="B137" s="8" t="s">
        <v>88</v>
      </c>
      <c r="C137" s="8">
        <f>C63*2</f>
        <v>138</v>
      </c>
      <c r="D137" s="8">
        <f>C137*D63</f>
        <v>0</v>
      </c>
      <c r="E137" s="8">
        <f>C137*E63</f>
        <v>0</v>
      </c>
      <c r="F137" s="8">
        <f>C137*F63</f>
        <v>138</v>
      </c>
      <c r="G137" s="8">
        <f>C137*G63</f>
        <v>0</v>
      </c>
      <c r="H137" s="8">
        <f>C137*H63</f>
        <v>0</v>
      </c>
      <c r="I137" s="8">
        <f>C137*I63</f>
        <v>0</v>
      </c>
      <c r="J137" s="8">
        <f>C137*J63</f>
        <v>0</v>
      </c>
      <c r="K137" s="8">
        <f>C137*K63</f>
        <v>0</v>
      </c>
      <c r="L137" s="8">
        <f>C137*L63</f>
        <v>0</v>
      </c>
      <c r="M137" s="8">
        <f>C137*M63</f>
        <v>0</v>
      </c>
      <c r="N137" s="8"/>
      <c r="O137" s="8"/>
      <c r="P137" s="8">
        <f t="shared" si="4"/>
        <v>138</v>
      </c>
      <c r="Q137" s="8">
        <f>P137</f>
        <v>138</v>
      </c>
    </row>
    <row r="141" spans="1:17" x14ac:dyDescent="0.3">
      <c r="A141" s="7" t="s">
        <v>11</v>
      </c>
      <c r="B141" s="7"/>
      <c r="C141" s="7"/>
      <c r="D141" s="7" t="s">
        <v>3</v>
      </c>
      <c r="E141" s="7" t="s">
        <v>4</v>
      </c>
      <c r="F141" s="7" t="s">
        <v>5</v>
      </c>
      <c r="G141" s="7" t="s">
        <v>6</v>
      </c>
      <c r="H141" s="7" t="s">
        <v>7</v>
      </c>
      <c r="I141" s="7" t="s">
        <v>8</v>
      </c>
      <c r="J141" s="7" t="s">
        <v>9</v>
      </c>
      <c r="K141" s="7" t="s">
        <v>10</v>
      </c>
      <c r="L141" s="7" t="s">
        <v>93</v>
      </c>
      <c r="M141" s="9" t="s">
        <v>117</v>
      </c>
      <c r="N141" s="9" t="s">
        <v>11</v>
      </c>
      <c r="O141" s="9" t="s">
        <v>97</v>
      </c>
      <c r="P141" s="7"/>
      <c r="Q141" s="9"/>
    </row>
    <row r="142" spans="1:17" x14ac:dyDescent="0.3">
      <c r="A142" s="8"/>
      <c r="B142" s="8"/>
      <c r="C142" s="8"/>
      <c r="D142" s="8">
        <f t="shared" ref="D142:M142" si="8">SUM(D76:D137)</f>
        <v>750</v>
      </c>
      <c r="E142" s="8">
        <f t="shared" si="8"/>
        <v>892</v>
      </c>
      <c r="F142" s="8">
        <f t="shared" si="8"/>
        <v>1166</v>
      </c>
      <c r="G142" s="8">
        <f t="shared" si="8"/>
        <v>1830</v>
      </c>
      <c r="H142" s="8">
        <f t="shared" si="8"/>
        <v>802</v>
      </c>
      <c r="I142" s="8">
        <f t="shared" si="8"/>
        <v>3046</v>
      </c>
      <c r="J142" s="8">
        <f t="shared" si="8"/>
        <v>2704</v>
      </c>
      <c r="K142" s="8">
        <f t="shared" si="8"/>
        <v>4664</v>
      </c>
      <c r="L142" s="8">
        <f t="shared" si="8"/>
        <v>2548</v>
      </c>
      <c r="M142" s="8">
        <f t="shared" si="8"/>
        <v>4044</v>
      </c>
      <c r="N142" s="8">
        <f>SUM(D142:M142)</f>
        <v>22446</v>
      </c>
      <c r="O142" s="15">
        <f>N142/N65</f>
        <v>154.80000000000001</v>
      </c>
      <c r="P142" s="8">
        <f>SUM(P76:P137)</f>
        <v>22446</v>
      </c>
      <c r="Q142" s="8">
        <f>SUM(Q76:Q137)</f>
        <v>22446</v>
      </c>
    </row>
    <row r="143" spans="1:17" x14ac:dyDescent="0.3">
      <c r="A143" s="6"/>
      <c r="B143" s="6"/>
      <c r="C143" s="6"/>
      <c r="D143" s="16">
        <f t="shared" ref="D143:N143" si="9">D142/D65</f>
        <v>150</v>
      </c>
      <c r="E143" s="16">
        <f t="shared" si="9"/>
        <v>89.2</v>
      </c>
      <c r="F143" s="16">
        <f t="shared" si="9"/>
        <v>116.6</v>
      </c>
      <c r="G143" s="16">
        <f t="shared" si="9"/>
        <v>114.375</v>
      </c>
      <c r="H143" s="16">
        <f t="shared" si="9"/>
        <v>160.4</v>
      </c>
      <c r="I143" s="16">
        <f t="shared" si="9"/>
        <v>138.45454545454547</v>
      </c>
      <c r="J143" s="16">
        <f t="shared" si="9"/>
        <v>142.31578947368422</v>
      </c>
      <c r="K143" s="16">
        <f t="shared" si="9"/>
        <v>172.74074074074073</v>
      </c>
      <c r="L143" s="16">
        <f t="shared" si="9"/>
        <v>159.25</v>
      </c>
      <c r="M143" s="16">
        <f t="shared" si="9"/>
        <v>269.60000000000002</v>
      </c>
      <c r="N143" s="16">
        <f t="shared" si="9"/>
        <v>154.80000000000001</v>
      </c>
      <c r="O143" s="6" t="s">
        <v>97</v>
      </c>
      <c r="P143" s="6"/>
      <c r="Q143" s="6"/>
    </row>
    <row r="213" spans="1:5" x14ac:dyDescent="0.3">
      <c r="A213" s="1" t="s">
        <v>0</v>
      </c>
      <c r="B213" s="1" t="s">
        <v>90</v>
      </c>
      <c r="C213" s="1"/>
      <c r="D213" s="1" t="s">
        <v>11</v>
      </c>
      <c r="E213" s="1" t="s">
        <v>2</v>
      </c>
    </row>
    <row r="214" spans="1:5" x14ac:dyDescent="0.3">
      <c r="A214" t="s">
        <v>13</v>
      </c>
      <c r="B214">
        <v>3</v>
      </c>
      <c r="D214">
        <f>SUM(N2:N4)</f>
        <v>10</v>
      </c>
      <c r="E214">
        <f>SUM(P2:P4)</f>
        <v>132</v>
      </c>
    </row>
    <row r="215" spans="1:5" x14ac:dyDescent="0.3">
      <c r="A215" t="s">
        <v>17</v>
      </c>
      <c r="B215">
        <v>1</v>
      </c>
      <c r="D215">
        <f>N5</f>
        <v>2</v>
      </c>
      <c r="E215">
        <f>P5</f>
        <v>1128</v>
      </c>
    </row>
    <row r="216" spans="1:5" x14ac:dyDescent="0.3">
      <c r="A216" t="s">
        <v>19</v>
      </c>
      <c r="B216">
        <v>2</v>
      </c>
      <c r="D216">
        <f>N6</f>
        <v>4</v>
      </c>
      <c r="E216">
        <f>SUM(P6:P7)</f>
        <v>1394</v>
      </c>
    </row>
    <row r="217" spans="1:5" x14ac:dyDescent="0.3">
      <c r="A217" t="s">
        <v>22</v>
      </c>
      <c r="B217">
        <v>5</v>
      </c>
      <c r="D217">
        <f>SUM(N8:N15)</f>
        <v>15</v>
      </c>
      <c r="E217">
        <f>SUM(P8:P15)</f>
        <v>2518</v>
      </c>
    </row>
    <row r="218" spans="1:5" x14ac:dyDescent="0.3">
      <c r="A218" t="s">
        <v>28</v>
      </c>
      <c r="B218">
        <v>1</v>
      </c>
      <c r="D218">
        <f>N15</f>
        <v>2</v>
      </c>
      <c r="E218">
        <f>SUM(P15)</f>
        <v>832</v>
      </c>
    </row>
    <row r="219" spans="1:5" x14ac:dyDescent="0.3">
      <c r="A219" t="s">
        <v>30</v>
      </c>
      <c r="B219">
        <v>5</v>
      </c>
      <c r="D219">
        <f>SUM(N16:N20)</f>
        <v>9</v>
      </c>
      <c r="E219">
        <f>SUM(P16:P20)</f>
        <v>906</v>
      </c>
    </row>
    <row r="220" spans="1:5" x14ac:dyDescent="0.3">
      <c r="A220" t="s">
        <v>36</v>
      </c>
      <c r="B220">
        <v>1</v>
      </c>
      <c r="D220">
        <f>N22</f>
        <v>1</v>
      </c>
      <c r="E220">
        <f>P22</f>
        <v>726</v>
      </c>
    </row>
    <row r="221" spans="1:5" x14ac:dyDescent="0.3">
      <c r="A221" t="s">
        <v>38</v>
      </c>
      <c r="B221">
        <v>1</v>
      </c>
      <c r="D221">
        <f>N26</f>
        <v>1</v>
      </c>
      <c r="E221">
        <f>P26</f>
        <v>516</v>
      </c>
    </row>
    <row r="222" spans="1:5" x14ac:dyDescent="0.3">
      <c r="A222" t="s">
        <v>40</v>
      </c>
      <c r="B222">
        <v>3</v>
      </c>
      <c r="D222">
        <f>SUM(N27:N29)</f>
        <v>8</v>
      </c>
      <c r="E222">
        <f>SUM(P27:P29)</f>
        <v>1150</v>
      </c>
    </row>
    <row r="223" spans="1:5" x14ac:dyDescent="0.3">
      <c r="A223" t="s">
        <v>44</v>
      </c>
      <c r="B223">
        <v>5</v>
      </c>
      <c r="D223">
        <f>SUM(N30:N35)</f>
        <v>20</v>
      </c>
      <c r="E223">
        <f>SUM(P30:P35)</f>
        <v>1120</v>
      </c>
    </row>
    <row r="224" spans="1:5" x14ac:dyDescent="0.3">
      <c r="A224" t="s">
        <v>50</v>
      </c>
      <c r="B224">
        <v>1</v>
      </c>
      <c r="D224">
        <f>N36</f>
        <v>1</v>
      </c>
      <c r="E224">
        <f>P36</f>
        <v>840</v>
      </c>
    </row>
    <row r="225" spans="1:5" x14ac:dyDescent="0.3">
      <c r="A225" t="s">
        <v>52</v>
      </c>
      <c r="B225">
        <v>1</v>
      </c>
      <c r="D225">
        <f>N37</f>
        <v>1</v>
      </c>
      <c r="E225">
        <f>P37</f>
        <v>282</v>
      </c>
    </row>
    <row r="226" spans="1:5" x14ac:dyDescent="0.3">
      <c r="A226" t="s">
        <v>91</v>
      </c>
      <c r="B226">
        <v>1</v>
      </c>
      <c r="D226">
        <f>N38</f>
        <v>9</v>
      </c>
      <c r="E226">
        <f>P38</f>
        <v>1440</v>
      </c>
    </row>
    <row r="227" spans="1:5" x14ac:dyDescent="0.3">
      <c r="A227" t="s">
        <v>56</v>
      </c>
      <c r="B227">
        <v>2</v>
      </c>
      <c r="D227">
        <f>SUM(N40:N41)</f>
        <v>7</v>
      </c>
      <c r="E227">
        <f>SUM(P40:P41)</f>
        <v>498</v>
      </c>
    </row>
    <row r="228" spans="1:5" x14ac:dyDescent="0.3">
      <c r="A228" t="s">
        <v>59</v>
      </c>
      <c r="B228">
        <v>3</v>
      </c>
      <c r="D228">
        <f>SUM(N42:N44)</f>
        <v>4</v>
      </c>
      <c r="E228">
        <f>SUM(P42:P44)</f>
        <v>1050</v>
      </c>
    </row>
    <row r="229" spans="1:5" x14ac:dyDescent="0.3">
      <c r="A229" t="s">
        <v>92</v>
      </c>
      <c r="B229">
        <v>1</v>
      </c>
      <c r="D229">
        <f>SUM(N45)</f>
        <v>3</v>
      </c>
      <c r="E229">
        <f>P45</f>
        <v>816</v>
      </c>
    </row>
    <row r="230" spans="1:5" x14ac:dyDescent="0.3">
      <c r="A230" t="s">
        <v>65</v>
      </c>
      <c r="B230">
        <v>4</v>
      </c>
      <c r="D230">
        <f>SUM(N46:N49)</f>
        <v>5</v>
      </c>
      <c r="E230">
        <f>SUM(P46:P49)</f>
        <v>1396</v>
      </c>
    </row>
    <row r="231" spans="1:5" x14ac:dyDescent="0.3">
      <c r="A231" t="s">
        <v>70</v>
      </c>
      <c r="B231">
        <v>3</v>
      </c>
      <c r="D231">
        <f>SUM(N50:N52)</f>
        <v>7</v>
      </c>
      <c r="E231">
        <f>SUM(P50:P52)</f>
        <v>880</v>
      </c>
    </row>
    <row r="232" spans="1:5" x14ac:dyDescent="0.3">
      <c r="A232" t="s">
        <v>74</v>
      </c>
      <c r="B232">
        <v>3</v>
      </c>
      <c r="D232">
        <f>SUM(N53:N55)</f>
        <v>3</v>
      </c>
      <c r="E232">
        <f>SUM(P53:P55)</f>
        <v>286</v>
      </c>
    </row>
    <row r="233" spans="1:5" x14ac:dyDescent="0.3">
      <c r="A233" t="s">
        <v>78</v>
      </c>
      <c r="B233">
        <v>2</v>
      </c>
      <c r="D233">
        <f>SUM(N56:N57)</f>
        <v>17</v>
      </c>
      <c r="E233">
        <f>SUM(P56:P57)</f>
        <v>644</v>
      </c>
    </row>
    <row r="234" spans="1:5" x14ac:dyDescent="0.3">
      <c r="A234" t="s">
        <v>81</v>
      </c>
      <c r="B234">
        <v>1</v>
      </c>
      <c r="D234">
        <f>SUM(N59)</f>
        <v>5</v>
      </c>
      <c r="E234">
        <f>P59</f>
        <v>1240</v>
      </c>
    </row>
    <row r="235" spans="1:5" x14ac:dyDescent="0.3">
      <c r="A235" t="s">
        <v>83</v>
      </c>
      <c r="B235">
        <v>3</v>
      </c>
      <c r="D235">
        <f>SUM(N60:N62)</f>
        <v>4</v>
      </c>
      <c r="E235">
        <f>SUM(P60:P62)</f>
        <v>482</v>
      </c>
    </row>
    <row r="236" spans="1:5" x14ac:dyDescent="0.3">
      <c r="A236" t="s">
        <v>87</v>
      </c>
      <c r="B236">
        <v>1</v>
      </c>
      <c r="D236">
        <f>N63</f>
        <v>1</v>
      </c>
      <c r="E236">
        <f>P63</f>
        <v>138</v>
      </c>
    </row>
    <row r="238" spans="1:5" x14ac:dyDescent="0.3">
      <c r="A238" s="1"/>
      <c r="B238" s="1">
        <f>SUM(B214:B236)</f>
        <v>53</v>
      </c>
      <c r="C238" s="1"/>
      <c r="D238" s="1">
        <f>SUM(D214:D236)</f>
        <v>139</v>
      </c>
      <c r="E238" s="1">
        <f>SUM(E214:E236)</f>
        <v>20414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2026-01-20T08:57:36Z</dcterms:modified>
</cp:coreProperties>
</file>
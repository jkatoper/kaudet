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D5DD2741-4A69-416A-9860-21289772963C}" xr6:coauthVersionLast="47" xr6:coauthVersionMax="47" xr10:uidLastSave="{00000000-0000-0000-0000-000000000000}"/>
  <bookViews>
    <workbookView xWindow="-108" yWindow="-108" windowWidth="23256" windowHeight="13896" xr2:uid="{4555F0EC-1DB6-484D-B801-2FC196B7544F}"/>
  </bookViews>
  <sheets>
    <sheet name="pelipaikat" sheetId="1" r:id="rId1"/>
    <sheet name="bea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8" i="1" l="1"/>
  <c r="Q128" i="1" s="1"/>
  <c r="R126" i="1" s="1"/>
  <c r="M128" i="1"/>
  <c r="L128" i="1"/>
  <c r="K128" i="1"/>
  <c r="J128" i="1"/>
  <c r="I128" i="1"/>
  <c r="H128" i="1"/>
  <c r="G128" i="1"/>
  <c r="F128" i="1"/>
  <c r="F127" i="1"/>
  <c r="E128" i="1"/>
  <c r="D128" i="1"/>
  <c r="C128" i="1"/>
  <c r="O47" i="1"/>
  <c r="P47" i="1" s="1"/>
  <c r="Q47" i="1" s="1"/>
  <c r="N98" i="1"/>
  <c r="C85" i="1"/>
  <c r="D85" i="1" s="1"/>
  <c r="O4" i="1"/>
  <c r="P4" i="1" s="1"/>
  <c r="Q4" i="1" s="1"/>
  <c r="O70" i="1"/>
  <c r="O68" i="1"/>
  <c r="O67" i="1"/>
  <c r="O66" i="1"/>
  <c r="O65" i="1"/>
  <c r="C188" i="1" s="1"/>
  <c r="O64" i="1"/>
  <c r="O63" i="1"/>
  <c r="O62" i="1"/>
  <c r="C187" i="1" s="1"/>
  <c r="O61" i="1"/>
  <c r="O60" i="1"/>
  <c r="O59" i="1"/>
  <c r="O58" i="1"/>
  <c r="O57" i="1"/>
  <c r="O56" i="1"/>
  <c r="O55" i="1"/>
  <c r="O54" i="1"/>
  <c r="O53" i="1"/>
  <c r="O52" i="1"/>
  <c r="O51" i="1"/>
  <c r="C183" i="1" s="1"/>
  <c r="O50" i="1"/>
  <c r="O49" i="1"/>
  <c r="O48" i="1"/>
  <c r="O46" i="1"/>
  <c r="O45" i="1"/>
  <c r="O44" i="1"/>
  <c r="P44" i="1" s="1"/>
  <c r="Q44" i="1" s="1"/>
  <c r="O43" i="1"/>
  <c r="C179" i="1" s="1"/>
  <c r="O42" i="1"/>
  <c r="C178" i="1" s="1"/>
  <c r="O41" i="1"/>
  <c r="C177" i="1" s="1"/>
  <c r="O40" i="1"/>
  <c r="O39" i="1"/>
  <c r="O38" i="1"/>
  <c r="O37" i="1"/>
  <c r="O36" i="1"/>
  <c r="O35" i="1"/>
  <c r="O34" i="1"/>
  <c r="O33" i="1"/>
  <c r="P33" i="1" s="1"/>
  <c r="Q33" i="1" s="1"/>
  <c r="O32" i="1"/>
  <c r="O31" i="1"/>
  <c r="B174" i="1" s="1"/>
  <c r="O30" i="1"/>
  <c r="C173" i="1" s="1"/>
  <c r="O29" i="1"/>
  <c r="P29" i="1" s="1"/>
  <c r="Q29" i="1" s="1"/>
  <c r="O28" i="1"/>
  <c r="C171" i="1" s="1"/>
  <c r="O27" i="1"/>
  <c r="C170" i="1" s="1"/>
  <c r="O26" i="1"/>
  <c r="O25" i="1"/>
  <c r="O24" i="1"/>
  <c r="O23" i="1"/>
  <c r="O22" i="1"/>
  <c r="O21" i="1"/>
  <c r="O20" i="1"/>
  <c r="P20" i="1" s="1"/>
  <c r="Q20" i="1" s="1"/>
  <c r="O19" i="1"/>
  <c r="O18" i="1"/>
  <c r="P18" i="1" s="1"/>
  <c r="Q18" i="1" s="1"/>
  <c r="O17" i="1"/>
  <c r="P17" i="1" s="1"/>
  <c r="Q17" i="1" s="1"/>
  <c r="O16" i="1"/>
  <c r="O15" i="1"/>
  <c r="O14" i="1"/>
  <c r="O13" i="1"/>
  <c r="O12" i="1"/>
  <c r="O11" i="1"/>
  <c r="P11" i="1" s="1"/>
  <c r="Q11" i="1" s="1"/>
  <c r="O10" i="1"/>
  <c r="P10" i="1" s="1"/>
  <c r="Q10" i="1" s="1"/>
  <c r="O9" i="1"/>
  <c r="O8" i="1"/>
  <c r="O7" i="1"/>
  <c r="P7" i="1" s="1"/>
  <c r="Q7" i="1" s="1"/>
  <c r="O6" i="1"/>
  <c r="C161" i="1" s="1"/>
  <c r="O5" i="1"/>
  <c r="O3" i="1"/>
  <c r="O2" i="1"/>
  <c r="C169" i="1"/>
  <c r="P2" i="1"/>
  <c r="G28" i="2"/>
  <c r="J28" i="2" s="1"/>
  <c r="F28" i="2"/>
  <c r="E28" i="2"/>
  <c r="D28" i="2"/>
  <c r="C28" i="2"/>
  <c r="H8" i="2"/>
  <c r="I8" i="2" s="1"/>
  <c r="J8" i="2" s="1"/>
  <c r="E26" i="2"/>
  <c r="C24" i="2"/>
  <c r="D24" i="2" s="1"/>
  <c r="G24" i="2" s="1"/>
  <c r="H4" i="2"/>
  <c r="I4" i="2" s="1"/>
  <c r="J4" i="2" s="1"/>
  <c r="F26" i="2"/>
  <c r="D26" i="2"/>
  <c r="C26" i="2"/>
  <c r="G26" i="2" s="1"/>
  <c r="H6" i="2"/>
  <c r="I6" i="2" s="1"/>
  <c r="J6" i="2" s="1"/>
  <c r="G17" i="2"/>
  <c r="H13" i="2"/>
  <c r="I13" i="2" s="1"/>
  <c r="J13" i="2" s="1"/>
  <c r="H12" i="2"/>
  <c r="I12" i="2" s="1"/>
  <c r="J12" i="2" s="1"/>
  <c r="H11" i="2"/>
  <c r="I11" i="2" s="1"/>
  <c r="J11" i="2" s="1"/>
  <c r="H10" i="2"/>
  <c r="I10" i="2" s="1"/>
  <c r="J10" i="2" s="1"/>
  <c r="H9" i="2"/>
  <c r="I9" i="2" s="1"/>
  <c r="J9" i="2" s="1"/>
  <c r="H7" i="2"/>
  <c r="I7" i="2" s="1"/>
  <c r="J7" i="2" s="1"/>
  <c r="H5" i="2"/>
  <c r="I5" i="2" s="1"/>
  <c r="J5" i="2" s="1"/>
  <c r="H3" i="2"/>
  <c r="I3" i="2" s="1"/>
  <c r="J3" i="2" s="1"/>
  <c r="H2" i="2"/>
  <c r="I2" i="2" s="1"/>
  <c r="J2" i="2" s="1"/>
  <c r="B191" i="1"/>
  <c r="R72" i="1"/>
  <c r="D191" i="1"/>
  <c r="C151" i="1"/>
  <c r="K151" i="1" s="1"/>
  <c r="C91" i="1"/>
  <c r="M91" i="1" s="1"/>
  <c r="C111" i="1"/>
  <c r="M111" i="1" s="1"/>
  <c r="C110" i="1"/>
  <c r="M110" i="1" s="1"/>
  <c r="B189" i="1"/>
  <c r="B187" i="1"/>
  <c r="B186" i="1"/>
  <c r="B185" i="1"/>
  <c r="B184" i="1"/>
  <c r="B182" i="1"/>
  <c r="B181" i="1"/>
  <c r="B176" i="1"/>
  <c r="B175" i="1"/>
  <c r="B168" i="1"/>
  <c r="B166" i="1"/>
  <c r="B164" i="1"/>
  <c r="B163" i="1"/>
  <c r="B160" i="1"/>
  <c r="B190" i="1"/>
  <c r="B188" i="1"/>
  <c r="B183" i="1"/>
  <c r="C180" i="1"/>
  <c r="B180" i="1"/>
  <c r="B179" i="1"/>
  <c r="B178" i="1"/>
  <c r="B177" i="1"/>
  <c r="C174" i="1"/>
  <c r="C172" i="1"/>
  <c r="B173" i="1"/>
  <c r="B171" i="1"/>
  <c r="B170" i="1"/>
  <c r="B169" i="1"/>
  <c r="B167" i="1"/>
  <c r="B165" i="1"/>
  <c r="C162" i="1"/>
  <c r="B162" i="1"/>
  <c r="B161" i="1"/>
  <c r="C92" i="1"/>
  <c r="M92" i="1" s="1"/>
  <c r="C101" i="1"/>
  <c r="D101" i="1" s="1"/>
  <c r="C88" i="1"/>
  <c r="D88" i="1" s="1"/>
  <c r="C114" i="1"/>
  <c r="H114" i="1" s="1"/>
  <c r="C98" i="1"/>
  <c r="M98" i="1" s="1"/>
  <c r="M72" i="1"/>
  <c r="L72" i="1"/>
  <c r="J72" i="1"/>
  <c r="I72" i="1"/>
  <c r="H72" i="1"/>
  <c r="G72" i="1"/>
  <c r="F72" i="1"/>
  <c r="E72" i="1"/>
  <c r="D72" i="1"/>
  <c r="C99" i="1"/>
  <c r="L99" i="1" s="1"/>
  <c r="C125" i="1"/>
  <c r="H125" i="1" s="1"/>
  <c r="C33" i="2"/>
  <c r="D33" i="2" s="1"/>
  <c r="G33" i="2" s="1"/>
  <c r="C32" i="2"/>
  <c r="D32" i="2" s="1"/>
  <c r="C31" i="2"/>
  <c r="D31" i="2" s="1"/>
  <c r="C30" i="2"/>
  <c r="D30" i="2" s="1"/>
  <c r="C29" i="2"/>
  <c r="D29" i="2" s="1"/>
  <c r="G29" i="2" s="1"/>
  <c r="C27" i="2"/>
  <c r="D27" i="2" s="1"/>
  <c r="G27" i="2" s="1"/>
  <c r="C25" i="2"/>
  <c r="F25" i="2" s="1"/>
  <c r="C23" i="2"/>
  <c r="D23" i="2" s="1"/>
  <c r="C22" i="2"/>
  <c r="D22" i="2" s="1"/>
  <c r="F17" i="2"/>
  <c r="E17" i="2"/>
  <c r="D17" i="2"/>
  <c r="K85" i="1" l="1"/>
  <c r="N110" i="1"/>
  <c r="M85" i="1"/>
  <c r="N111" i="1"/>
  <c r="N114" i="1"/>
  <c r="L85" i="1"/>
  <c r="N85" i="1"/>
  <c r="N91" i="1"/>
  <c r="N88" i="1"/>
  <c r="G85" i="1"/>
  <c r="N99" i="1"/>
  <c r="H85" i="1"/>
  <c r="N92" i="1"/>
  <c r="I85" i="1"/>
  <c r="N101" i="1"/>
  <c r="N125" i="1"/>
  <c r="E85" i="1"/>
  <c r="F85" i="1"/>
  <c r="J85" i="1"/>
  <c r="N151" i="1"/>
  <c r="Q110" i="1"/>
  <c r="R110" i="1" s="1"/>
  <c r="D172" i="1" s="1"/>
  <c r="Q98" i="1"/>
  <c r="R98" i="1" s="1"/>
  <c r="D165" i="1" s="1"/>
  <c r="C185" i="1"/>
  <c r="C181" i="1"/>
  <c r="C189" i="1"/>
  <c r="C164" i="1"/>
  <c r="C160" i="1"/>
  <c r="D151" i="1"/>
  <c r="F151" i="1"/>
  <c r="G151" i="1"/>
  <c r="H151" i="1"/>
  <c r="L151" i="1"/>
  <c r="E151" i="1"/>
  <c r="I151" i="1"/>
  <c r="M151" i="1"/>
  <c r="C176" i="1"/>
  <c r="J91" i="1"/>
  <c r="J151" i="1"/>
  <c r="C182" i="1"/>
  <c r="H91" i="1"/>
  <c r="K91" i="1"/>
  <c r="F24" i="2"/>
  <c r="E24" i="2"/>
  <c r="E31" i="2"/>
  <c r="G22" i="2"/>
  <c r="G23" i="2"/>
  <c r="G30" i="2"/>
  <c r="E29" i="2"/>
  <c r="E32" i="2"/>
  <c r="G31" i="2"/>
  <c r="E27" i="2"/>
  <c r="E30" i="2"/>
  <c r="G32" i="2"/>
  <c r="J26" i="2"/>
  <c r="H17" i="2"/>
  <c r="F32" i="2"/>
  <c r="E33" i="2"/>
  <c r="F33" i="2"/>
  <c r="E22" i="2"/>
  <c r="E23" i="2"/>
  <c r="E25" i="2"/>
  <c r="F23" i="2"/>
  <c r="F29" i="2"/>
  <c r="F30" i="2"/>
  <c r="D25" i="2"/>
  <c r="F31" i="2"/>
  <c r="F22" i="2"/>
  <c r="F27" i="2"/>
  <c r="P70" i="1"/>
  <c r="C191" i="1"/>
  <c r="F91" i="1"/>
  <c r="D91" i="1"/>
  <c r="E91" i="1"/>
  <c r="G91" i="1"/>
  <c r="I91" i="1"/>
  <c r="L91" i="1"/>
  <c r="C184" i="1"/>
  <c r="C168" i="1"/>
  <c r="C186" i="1"/>
  <c r="B172" i="1"/>
  <c r="B192" i="1" s="1"/>
  <c r="C163" i="1"/>
  <c r="C166" i="1"/>
  <c r="L92" i="1"/>
  <c r="C175" i="1"/>
  <c r="C165" i="1"/>
  <c r="C167" i="1"/>
  <c r="M114" i="1"/>
  <c r="M88" i="1"/>
  <c r="M101" i="1"/>
  <c r="E101" i="1"/>
  <c r="F101" i="1" s="1"/>
  <c r="G101" i="1" s="1"/>
  <c r="H101" i="1" s="1"/>
  <c r="I101" i="1" s="1"/>
  <c r="J101" i="1" s="1"/>
  <c r="K101" i="1" s="1"/>
  <c r="L101" i="1" s="1"/>
  <c r="E88" i="1"/>
  <c r="F88" i="1" s="1"/>
  <c r="G88" i="1" s="1"/>
  <c r="H88" i="1" s="1"/>
  <c r="I88" i="1" s="1"/>
  <c r="J88" i="1" s="1"/>
  <c r="K88" i="1" s="1"/>
  <c r="L88" i="1" s="1"/>
  <c r="D114" i="1"/>
  <c r="E99" i="1"/>
  <c r="D99" i="1"/>
  <c r="G99" i="1"/>
  <c r="K99" i="1"/>
  <c r="M99" i="1"/>
  <c r="F99" i="1"/>
  <c r="I99" i="1"/>
  <c r="J99" i="1"/>
  <c r="I125" i="1"/>
  <c r="J125" i="1"/>
  <c r="K125" i="1"/>
  <c r="L125" i="1"/>
  <c r="E125" i="1"/>
  <c r="F125" i="1"/>
  <c r="M125" i="1"/>
  <c r="L111" i="1"/>
  <c r="D125" i="1"/>
  <c r="G125" i="1"/>
  <c r="J17" i="2"/>
  <c r="I17" i="2"/>
  <c r="B240" i="2"/>
  <c r="C135" i="2"/>
  <c r="C134" i="2"/>
  <c r="E134" i="2" s="1"/>
  <c r="C133" i="2"/>
  <c r="C132" i="2"/>
  <c r="D132" i="2" s="1"/>
  <c r="C131" i="2"/>
  <c r="C130" i="2"/>
  <c r="E130" i="2" s="1"/>
  <c r="C129" i="2"/>
  <c r="E129" i="2" s="1"/>
  <c r="C128" i="2"/>
  <c r="C127" i="2"/>
  <c r="C126" i="2"/>
  <c r="C125" i="2"/>
  <c r="E125" i="2" s="1"/>
  <c r="C124" i="2"/>
  <c r="D124" i="2" s="1"/>
  <c r="C123" i="2"/>
  <c r="C122" i="2"/>
  <c r="C121" i="2"/>
  <c r="C120" i="2"/>
  <c r="E120" i="2" s="1"/>
  <c r="C119" i="2"/>
  <c r="D119" i="2" s="1"/>
  <c r="C118" i="2"/>
  <c r="E118" i="2" s="1"/>
  <c r="C117" i="2"/>
  <c r="E117" i="2" s="1"/>
  <c r="C116" i="2"/>
  <c r="E116" i="2" s="1"/>
  <c r="C115" i="2"/>
  <c r="C114" i="2"/>
  <c r="C113" i="2"/>
  <c r="C112" i="2"/>
  <c r="C111" i="2"/>
  <c r="C110" i="2"/>
  <c r="C109" i="2"/>
  <c r="C108" i="2"/>
  <c r="D108" i="2" s="1"/>
  <c r="C107" i="2"/>
  <c r="C106" i="2"/>
  <c r="D106" i="2" s="1"/>
  <c r="C105" i="2"/>
  <c r="C104" i="2"/>
  <c r="C103" i="2"/>
  <c r="C102" i="2"/>
  <c r="C101" i="2"/>
  <c r="C100" i="2"/>
  <c r="D99" i="2"/>
  <c r="C98" i="2"/>
  <c r="C97" i="2"/>
  <c r="C96" i="2"/>
  <c r="C95" i="2"/>
  <c r="C94" i="2"/>
  <c r="D94" i="2" s="1"/>
  <c r="C93" i="2"/>
  <c r="C92" i="2"/>
  <c r="C91" i="2"/>
  <c r="C90" i="2"/>
  <c r="D90" i="2" s="1"/>
  <c r="C89" i="2"/>
  <c r="C88" i="2"/>
  <c r="D88" i="2" s="1"/>
  <c r="C87" i="2"/>
  <c r="C86" i="2"/>
  <c r="C85" i="2"/>
  <c r="E85" i="2" s="1"/>
  <c r="C84" i="2"/>
  <c r="C83" i="2"/>
  <c r="E83" i="2" s="1"/>
  <c r="C82" i="2"/>
  <c r="C81" i="2"/>
  <c r="C80" i="2"/>
  <c r="C79" i="2"/>
  <c r="E79" i="2" s="1"/>
  <c r="C145" i="1"/>
  <c r="N145" i="1" s="1"/>
  <c r="P64" i="1"/>
  <c r="Q64" i="1" s="1"/>
  <c r="C107" i="1"/>
  <c r="N107" i="1" s="1"/>
  <c r="P26" i="1"/>
  <c r="Q26" i="1" s="1"/>
  <c r="P30" i="1"/>
  <c r="Q30" i="1" s="1"/>
  <c r="D111" i="1"/>
  <c r="P34" i="1"/>
  <c r="Q34" i="1" s="1"/>
  <c r="C109" i="1"/>
  <c r="N109" i="1" s="1"/>
  <c r="P28" i="1"/>
  <c r="Q28" i="1" s="1"/>
  <c r="P68" i="1"/>
  <c r="Q68" i="1" s="1"/>
  <c r="P67" i="1"/>
  <c r="Q67" i="1" s="1"/>
  <c r="P63" i="1"/>
  <c r="Q63" i="1" s="1"/>
  <c r="P61" i="1"/>
  <c r="Q61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1" i="1"/>
  <c r="Q51" i="1" s="1"/>
  <c r="P50" i="1"/>
  <c r="Q50" i="1" s="1"/>
  <c r="P49" i="1"/>
  <c r="Q49" i="1" s="1"/>
  <c r="P48" i="1"/>
  <c r="Q48" i="1" s="1"/>
  <c r="P46" i="1"/>
  <c r="Q46" i="1" s="1"/>
  <c r="P45" i="1"/>
  <c r="Q45" i="1" s="1"/>
  <c r="P37" i="1"/>
  <c r="Q37" i="1" s="1"/>
  <c r="P36" i="1"/>
  <c r="Q36" i="1" s="1"/>
  <c r="P35" i="1"/>
  <c r="Q35" i="1" s="1"/>
  <c r="P40" i="1"/>
  <c r="Q40" i="1" s="1"/>
  <c r="P38" i="1"/>
  <c r="Q38" i="1" s="1"/>
  <c r="P31" i="1"/>
  <c r="Q31" i="1" s="1"/>
  <c r="P27" i="1"/>
  <c r="Q27" i="1" s="1"/>
  <c r="P25" i="1"/>
  <c r="Q25" i="1" s="1"/>
  <c r="P24" i="1"/>
  <c r="Q24" i="1" s="1"/>
  <c r="P23" i="1"/>
  <c r="Q23" i="1" s="1"/>
  <c r="P22" i="1"/>
  <c r="Q22" i="1" s="1"/>
  <c r="P19" i="1"/>
  <c r="P16" i="1"/>
  <c r="Q16" i="1" s="1"/>
  <c r="P15" i="1"/>
  <c r="Q15" i="1" s="1"/>
  <c r="P14" i="1"/>
  <c r="Q14" i="1" s="1"/>
  <c r="P13" i="1"/>
  <c r="Q13" i="1" s="1"/>
  <c r="P12" i="1"/>
  <c r="Q12" i="1" s="1"/>
  <c r="P9" i="1"/>
  <c r="Q9" i="1" s="1"/>
  <c r="P8" i="1"/>
  <c r="Q8" i="1" s="1"/>
  <c r="P6" i="1"/>
  <c r="Q6" i="1" s="1"/>
  <c r="P5" i="1"/>
  <c r="Q5" i="1" s="1"/>
  <c r="P3" i="1"/>
  <c r="Q3" i="1" s="1"/>
  <c r="C150" i="1"/>
  <c r="N150" i="1" s="1"/>
  <c r="C149" i="1"/>
  <c r="N149" i="1" s="1"/>
  <c r="C148" i="1"/>
  <c r="N148" i="1" s="1"/>
  <c r="C147" i="1"/>
  <c r="N147" i="1" s="1"/>
  <c r="C146" i="1"/>
  <c r="N146" i="1" s="1"/>
  <c r="C144" i="1"/>
  <c r="N144" i="1" s="1"/>
  <c r="C143" i="1"/>
  <c r="N143" i="1" s="1"/>
  <c r="C142" i="1"/>
  <c r="N142" i="1" s="1"/>
  <c r="C141" i="1"/>
  <c r="N141" i="1" s="1"/>
  <c r="C140" i="1"/>
  <c r="N140" i="1" s="1"/>
  <c r="C139" i="1"/>
  <c r="N139" i="1" s="1"/>
  <c r="C138" i="1"/>
  <c r="N138" i="1" s="1"/>
  <c r="C137" i="1"/>
  <c r="N137" i="1" s="1"/>
  <c r="C136" i="1"/>
  <c r="N136" i="1" s="1"/>
  <c r="C135" i="1"/>
  <c r="N135" i="1" s="1"/>
  <c r="C134" i="1"/>
  <c r="N134" i="1" s="1"/>
  <c r="C133" i="1"/>
  <c r="N133" i="1" s="1"/>
  <c r="C132" i="1"/>
  <c r="N132" i="1" s="1"/>
  <c r="C131" i="1"/>
  <c r="N131" i="1" s="1"/>
  <c r="C130" i="1"/>
  <c r="N130" i="1" s="1"/>
  <c r="C129" i="1"/>
  <c r="N129" i="1" s="1"/>
  <c r="C127" i="1"/>
  <c r="N127" i="1" s="1"/>
  <c r="C126" i="1"/>
  <c r="N126" i="1" s="1"/>
  <c r="C124" i="1"/>
  <c r="N124" i="1" s="1"/>
  <c r="C123" i="1"/>
  <c r="N123" i="1" s="1"/>
  <c r="C122" i="1"/>
  <c r="N122" i="1" s="1"/>
  <c r="C118" i="1"/>
  <c r="N118" i="1" s="1"/>
  <c r="C117" i="1"/>
  <c r="N117" i="1" s="1"/>
  <c r="C116" i="1"/>
  <c r="N116" i="1" s="1"/>
  <c r="C115" i="1"/>
  <c r="N115" i="1" s="1"/>
  <c r="C113" i="1"/>
  <c r="N113" i="1" s="1"/>
  <c r="C121" i="1"/>
  <c r="N121" i="1" s="1"/>
  <c r="C120" i="1"/>
  <c r="N120" i="1" s="1"/>
  <c r="C119" i="1"/>
  <c r="N119" i="1" s="1"/>
  <c r="C112" i="1"/>
  <c r="N112" i="1" s="1"/>
  <c r="C108" i="1"/>
  <c r="N108" i="1" s="1"/>
  <c r="C106" i="1"/>
  <c r="N106" i="1" s="1"/>
  <c r="C105" i="1"/>
  <c r="N105" i="1" s="1"/>
  <c r="C104" i="1"/>
  <c r="N104" i="1" s="1"/>
  <c r="C103" i="1"/>
  <c r="N103" i="1" s="1"/>
  <c r="C102" i="1"/>
  <c r="N102" i="1" s="1"/>
  <c r="C100" i="1"/>
  <c r="N100" i="1" s="1"/>
  <c r="C97" i="1"/>
  <c r="N97" i="1" s="1"/>
  <c r="C96" i="1"/>
  <c r="N96" i="1" s="1"/>
  <c r="C95" i="1"/>
  <c r="N95" i="1" s="1"/>
  <c r="C94" i="1"/>
  <c r="C93" i="1"/>
  <c r="N93" i="1" s="1"/>
  <c r="C90" i="1"/>
  <c r="N90" i="1" s="1"/>
  <c r="C89" i="1"/>
  <c r="N89" i="1" s="1"/>
  <c r="C87" i="1"/>
  <c r="N87" i="1" s="1"/>
  <c r="C86" i="1"/>
  <c r="C84" i="1"/>
  <c r="N84" i="1" s="1"/>
  <c r="C83" i="1"/>
  <c r="N83" i="1" s="1"/>
  <c r="K69" i="1"/>
  <c r="Q85" i="1" l="1"/>
  <c r="N86" i="1"/>
  <c r="K86" i="1"/>
  <c r="Q92" i="1"/>
  <c r="D94" i="1"/>
  <c r="N94" i="1"/>
  <c r="Q101" i="1"/>
  <c r="Q88" i="1"/>
  <c r="R88" i="1" s="1"/>
  <c r="D162" i="1" s="1"/>
  <c r="Q125" i="1"/>
  <c r="R125" i="1" s="1"/>
  <c r="D180" i="1" s="1"/>
  <c r="O69" i="1"/>
  <c r="O71" i="1" s="1"/>
  <c r="Q91" i="1"/>
  <c r="H99" i="1"/>
  <c r="Q99" i="1" s="1"/>
  <c r="Q151" i="1"/>
  <c r="R151" i="1" s="1"/>
  <c r="J29" i="2"/>
  <c r="J23" i="2"/>
  <c r="J22" i="2"/>
  <c r="E100" i="2"/>
  <c r="J27" i="2"/>
  <c r="J24" i="2"/>
  <c r="J30" i="2"/>
  <c r="F35" i="2"/>
  <c r="J32" i="2"/>
  <c r="J33" i="2"/>
  <c r="J31" i="2"/>
  <c r="E35" i="2"/>
  <c r="E75" i="2" s="1"/>
  <c r="J18" i="2"/>
  <c r="G25" i="2"/>
  <c r="G35" i="2" s="1"/>
  <c r="E95" i="2"/>
  <c r="I18" i="2"/>
  <c r="E99" i="2"/>
  <c r="D35" i="2"/>
  <c r="D105" i="2" s="1"/>
  <c r="D75" i="2"/>
  <c r="F75" i="2" s="1"/>
  <c r="Q70" i="1"/>
  <c r="R101" i="1"/>
  <c r="D167" i="1" s="1"/>
  <c r="Q19" i="1"/>
  <c r="I114" i="1"/>
  <c r="E114" i="1"/>
  <c r="K72" i="1"/>
  <c r="O72" i="1" s="1"/>
  <c r="J134" i="1"/>
  <c r="M134" i="1"/>
  <c r="E105" i="1"/>
  <c r="M105" i="1"/>
  <c r="J106" i="1"/>
  <c r="M106" i="1"/>
  <c r="I108" i="1"/>
  <c r="M108" i="1"/>
  <c r="I139" i="1"/>
  <c r="M139" i="1"/>
  <c r="J120" i="1"/>
  <c r="M120" i="1"/>
  <c r="H115" i="1"/>
  <c r="M115" i="1"/>
  <c r="H83" i="1"/>
  <c r="M83" i="1"/>
  <c r="G147" i="1"/>
  <c r="M147" i="1"/>
  <c r="J148" i="1"/>
  <c r="M148" i="1"/>
  <c r="L122" i="1"/>
  <c r="M122" i="1"/>
  <c r="L149" i="1"/>
  <c r="M149" i="1"/>
  <c r="J103" i="1"/>
  <c r="M103" i="1"/>
  <c r="J104" i="1"/>
  <c r="M104" i="1"/>
  <c r="I112" i="1"/>
  <c r="M112" i="1"/>
  <c r="H144" i="1"/>
  <c r="M144" i="1"/>
  <c r="L146" i="1"/>
  <c r="M146" i="1"/>
  <c r="L87" i="1"/>
  <c r="M87" i="1"/>
  <c r="L89" i="1"/>
  <c r="M89" i="1"/>
  <c r="G123" i="1"/>
  <c r="M123" i="1"/>
  <c r="G150" i="1"/>
  <c r="M150" i="1"/>
  <c r="I109" i="1"/>
  <c r="M109" i="1"/>
  <c r="E135" i="1"/>
  <c r="M135" i="1"/>
  <c r="K136" i="1"/>
  <c r="M136" i="1"/>
  <c r="I137" i="1"/>
  <c r="M137" i="1"/>
  <c r="D119" i="1"/>
  <c r="M119" i="1"/>
  <c r="J141" i="1"/>
  <c r="M141" i="1"/>
  <c r="E142" i="1"/>
  <c r="M142" i="1"/>
  <c r="H143" i="1"/>
  <c r="M143" i="1"/>
  <c r="G116" i="1"/>
  <c r="M116" i="1"/>
  <c r="G117" i="1"/>
  <c r="M117" i="1"/>
  <c r="G90" i="1"/>
  <c r="M90" i="1"/>
  <c r="K94" i="1"/>
  <c r="M94" i="1"/>
  <c r="K127" i="1"/>
  <c r="M127" i="1"/>
  <c r="I138" i="1"/>
  <c r="M138" i="1"/>
  <c r="D140" i="1"/>
  <c r="M140" i="1"/>
  <c r="H121" i="1"/>
  <c r="M121" i="1"/>
  <c r="H113" i="1"/>
  <c r="M113" i="1"/>
  <c r="G84" i="1"/>
  <c r="M84" i="1"/>
  <c r="G86" i="1"/>
  <c r="M86" i="1"/>
  <c r="L118" i="1"/>
  <c r="M118" i="1"/>
  <c r="K124" i="1"/>
  <c r="M124" i="1"/>
  <c r="K93" i="1"/>
  <c r="M93" i="1"/>
  <c r="F126" i="1"/>
  <c r="M126" i="1"/>
  <c r="K95" i="1"/>
  <c r="M95" i="1"/>
  <c r="K129" i="1"/>
  <c r="M129" i="1"/>
  <c r="K96" i="1"/>
  <c r="M96" i="1"/>
  <c r="F130" i="1"/>
  <c r="M130" i="1"/>
  <c r="F97" i="1"/>
  <c r="M97" i="1"/>
  <c r="L131" i="1"/>
  <c r="M131" i="1"/>
  <c r="K107" i="1"/>
  <c r="M107" i="1"/>
  <c r="M100" i="1"/>
  <c r="J132" i="1"/>
  <c r="M132" i="1"/>
  <c r="J102" i="1"/>
  <c r="M102" i="1"/>
  <c r="J133" i="1"/>
  <c r="M133" i="1"/>
  <c r="L145" i="1"/>
  <c r="M145" i="1"/>
  <c r="J100" i="1"/>
  <c r="E111" i="1"/>
  <c r="F111" i="1" s="1"/>
  <c r="G111" i="1" s="1"/>
  <c r="H111" i="1" s="1"/>
  <c r="I111" i="1" s="1"/>
  <c r="J111" i="1" s="1"/>
  <c r="K111" i="1" s="1"/>
  <c r="D79" i="2"/>
  <c r="E124" i="2"/>
  <c r="E106" i="2"/>
  <c r="E119" i="2"/>
  <c r="D83" i="2"/>
  <c r="E88" i="2"/>
  <c r="E132" i="2"/>
  <c r="D95" i="2"/>
  <c r="D101" i="2"/>
  <c r="D133" i="2"/>
  <c r="D89" i="2"/>
  <c r="E112" i="2"/>
  <c r="E101" i="2"/>
  <c r="D102" i="2"/>
  <c r="D80" i="2"/>
  <c r="D107" i="2"/>
  <c r="E98" i="2"/>
  <c r="D135" i="2"/>
  <c r="E104" i="2"/>
  <c r="E135" i="2"/>
  <c r="D82" i="2"/>
  <c r="E82" i="2"/>
  <c r="D118" i="2"/>
  <c r="D112" i="2"/>
  <c r="D84" i="2"/>
  <c r="D85" i="2"/>
  <c r="E80" i="2"/>
  <c r="E107" i="2"/>
  <c r="D117" i="2"/>
  <c r="E108" i="2"/>
  <c r="D113" i="2"/>
  <c r="E113" i="2"/>
  <c r="E94" i="2"/>
  <c r="D100" i="2"/>
  <c r="E133" i="2"/>
  <c r="D125" i="2"/>
  <c r="E102" i="2"/>
  <c r="E89" i="2"/>
  <c r="E127" i="2"/>
  <c r="D127" i="2"/>
  <c r="D93" i="2"/>
  <c r="E93" i="2"/>
  <c r="H75" i="2"/>
  <c r="E103" i="2"/>
  <c r="D103" i="2"/>
  <c r="D86" i="2"/>
  <c r="E121" i="2"/>
  <c r="D121" i="2"/>
  <c r="D114" i="2"/>
  <c r="E87" i="2"/>
  <c r="D87" i="2"/>
  <c r="E115" i="2"/>
  <c r="D115" i="2"/>
  <c r="D120" i="2"/>
  <c r="D96" i="2"/>
  <c r="E96" i="2"/>
  <c r="E97" i="2"/>
  <c r="D97" i="2"/>
  <c r="D98" i="2"/>
  <c r="E86" i="2"/>
  <c r="E114" i="2"/>
  <c r="E90" i="2"/>
  <c r="E91" i="2"/>
  <c r="D91" i="2"/>
  <c r="D129" i="2"/>
  <c r="E123" i="2"/>
  <c r="D123" i="2"/>
  <c r="D81" i="2"/>
  <c r="E81" i="2"/>
  <c r="E131" i="2"/>
  <c r="D131" i="2"/>
  <c r="E109" i="2"/>
  <c r="D109" i="2"/>
  <c r="E84" i="2"/>
  <c r="D92" i="2"/>
  <c r="D126" i="2"/>
  <c r="E111" i="2"/>
  <c r="D111" i="2"/>
  <c r="E92" i="2"/>
  <c r="E126" i="2"/>
  <c r="D134" i="2"/>
  <c r="D128" i="2"/>
  <c r="D116" i="2"/>
  <c r="E122" i="2"/>
  <c r="D122" i="2"/>
  <c r="D104" i="2"/>
  <c r="E110" i="2"/>
  <c r="D110" i="2"/>
  <c r="E128" i="2"/>
  <c r="J137" i="1"/>
  <c r="G107" i="1"/>
  <c r="J107" i="1"/>
  <c r="J136" i="1"/>
  <c r="F106" i="1"/>
  <c r="J105" i="1"/>
  <c r="J131" i="1"/>
  <c r="J135" i="1"/>
  <c r="L136" i="1"/>
  <c r="F103" i="1"/>
  <c r="I107" i="1"/>
  <c r="F132" i="1"/>
  <c r="D107" i="1"/>
  <c r="F133" i="1"/>
  <c r="F134" i="1"/>
  <c r="H107" i="1"/>
  <c r="F137" i="1"/>
  <c r="H105" i="1"/>
  <c r="H106" i="1"/>
  <c r="L107" i="1"/>
  <c r="E107" i="1"/>
  <c r="F107" i="1"/>
  <c r="F135" i="1"/>
  <c r="F136" i="1"/>
  <c r="G103" i="1"/>
  <c r="I136" i="1"/>
  <c r="K100" i="1"/>
  <c r="D108" i="1"/>
  <c r="G127" i="1"/>
  <c r="K103" i="1"/>
  <c r="D113" i="1"/>
  <c r="G133" i="1"/>
  <c r="K134" i="1"/>
  <c r="D115" i="1"/>
  <c r="G137" i="1"/>
  <c r="L95" i="1"/>
  <c r="D116" i="1"/>
  <c r="H93" i="1"/>
  <c r="L97" i="1"/>
  <c r="D117" i="1"/>
  <c r="H94" i="1"/>
  <c r="L100" i="1"/>
  <c r="D118" i="1"/>
  <c r="H104" i="1"/>
  <c r="L102" i="1"/>
  <c r="D129" i="1"/>
  <c r="D130" i="1"/>
  <c r="L104" i="1"/>
  <c r="H134" i="1"/>
  <c r="D132" i="1"/>
  <c r="H136" i="1"/>
  <c r="L127" i="1"/>
  <c r="L103" i="1"/>
  <c r="D131" i="1"/>
  <c r="L105" i="1"/>
  <c r="D136" i="1"/>
  <c r="I131" i="1"/>
  <c r="L129" i="1"/>
  <c r="E136" i="1"/>
  <c r="I135" i="1"/>
  <c r="L130" i="1"/>
  <c r="I148" i="1"/>
  <c r="L137" i="1"/>
  <c r="F109" i="1"/>
  <c r="I150" i="1"/>
  <c r="L138" i="1"/>
  <c r="F131" i="1"/>
  <c r="J97" i="1"/>
  <c r="D106" i="1"/>
  <c r="G106" i="1"/>
  <c r="K102" i="1"/>
  <c r="H116" i="1"/>
  <c r="D143" i="1"/>
  <c r="G104" i="1"/>
  <c r="H146" i="1"/>
  <c r="J138" i="1"/>
  <c r="D144" i="1"/>
  <c r="G105" i="1"/>
  <c r="I84" i="1"/>
  <c r="K97" i="1"/>
  <c r="K104" i="1"/>
  <c r="E102" i="1"/>
  <c r="G131" i="1"/>
  <c r="I117" i="1"/>
  <c r="K132" i="1"/>
  <c r="H117" i="1"/>
  <c r="H118" i="1"/>
  <c r="I86" i="1"/>
  <c r="I113" i="1"/>
  <c r="E100" i="1"/>
  <c r="G130" i="1"/>
  <c r="I116" i="1"/>
  <c r="I83" i="1"/>
  <c r="E106" i="1"/>
  <c r="G132" i="1"/>
  <c r="I118" i="1"/>
  <c r="K133" i="1"/>
  <c r="D146" i="1"/>
  <c r="J83" i="1"/>
  <c r="I126" i="1"/>
  <c r="D87" i="1"/>
  <c r="E138" i="1"/>
  <c r="G134" i="1"/>
  <c r="I127" i="1"/>
  <c r="K135" i="1"/>
  <c r="D147" i="1"/>
  <c r="D148" i="1"/>
  <c r="G129" i="1"/>
  <c r="I115" i="1"/>
  <c r="D100" i="1"/>
  <c r="F100" i="1"/>
  <c r="G135" i="1"/>
  <c r="I129" i="1"/>
  <c r="L93" i="1"/>
  <c r="D102" i="1"/>
  <c r="F102" i="1"/>
  <c r="G136" i="1"/>
  <c r="I130" i="1"/>
  <c r="L94" i="1"/>
  <c r="F138" i="1"/>
  <c r="H135" i="1"/>
  <c r="I89" i="1"/>
  <c r="D120" i="1"/>
  <c r="I93" i="1"/>
  <c r="H124" i="1"/>
  <c r="G93" i="1"/>
  <c r="E108" i="1"/>
  <c r="G94" i="1"/>
  <c r="G138" i="1"/>
  <c r="H127" i="1"/>
  <c r="I100" i="1"/>
  <c r="I143" i="1"/>
  <c r="K105" i="1"/>
  <c r="L106" i="1"/>
  <c r="H122" i="1"/>
  <c r="H123" i="1"/>
  <c r="D122" i="1"/>
  <c r="G95" i="1"/>
  <c r="H84" i="1"/>
  <c r="H129" i="1"/>
  <c r="I105" i="1"/>
  <c r="I144" i="1"/>
  <c r="K106" i="1"/>
  <c r="L108" i="1"/>
  <c r="L150" i="1"/>
  <c r="D149" i="1"/>
  <c r="I94" i="1"/>
  <c r="I140" i="1"/>
  <c r="I141" i="1"/>
  <c r="I97" i="1"/>
  <c r="I142" i="1"/>
  <c r="E109" i="1"/>
  <c r="K83" i="1"/>
  <c r="D123" i="1"/>
  <c r="E131" i="1"/>
  <c r="G96" i="1"/>
  <c r="H86" i="1"/>
  <c r="H130" i="1"/>
  <c r="I106" i="1"/>
  <c r="I146" i="1"/>
  <c r="K108" i="1"/>
  <c r="L109" i="1"/>
  <c r="H126" i="1"/>
  <c r="L83" i="1"/>
  <c r="D124" i="1"/>
  <c r="E132" i="1"/>
  <c r="G97" i="1"/>
  <c r="H87" i="1"/>
  <c r="H131" i="1"/>
  <c r="I119" i="1"/>
  <c r="I147" i="1"/>
  <c r="K109" i="1"/>
  <c r="L123" i="1"/>
  <c r="I90" i="1"/>
  <c r="D150" i="1"/>
  <c r="I96" i="1"/>
  <c r="D84" i="1"/>
  <c r="G100" i="1"/>
  <c r="H132" i="1"/>
  <c r="I120" i="1"/>
  <c r="K130" i="1"/>
  <c r="L124" i="1"/>
  <c r="I87" i="1"/>
  <c r="D121" i="1"/>
  <c r="I95" i="1"/>
  <c r="D126" i="1"/>
  <c r="H89" i="1"/>
  <c r="D86" i="1"/>
  <c r="D127" i="1"/>
  <c r="E137" i="1"/>
  <c r="G102" i="1"/>
  <c r="H90" i="1"/>
  <c r="H133" i="1"/>
  <c r="I121" i="1"/>
  <c r="I149" i="1"/>
  <c r="K131" i="1"/>
  <c r="L126" i="1"/>
  <c r="D89" i="1"/>
  <c r="D93" i="1"/>
  <c r="H96" i="1"/>
  <c r="F104" i="1"/>
  <c r="G108" i="1"/>
  <c r="H97" i="1"/>
  <c r="H147" i="1"/>
  <c r="L132" i="1"/>
  <c r="D95" i="1"/>
  <c r="D137" i="1"/>
  <c r="F105" i="1"/>
  <c r="G109" i="1"/>
  <c r="H148" i="1"/>
  <c r="I122" i="1"/>
  <c r="J108" i="1"/>
  <c r="K137" i="1"/>
  <c r="L133" i="1"/>
  <c r="D90" i="1"/>
  <c r="H95" i="1"/>
  <c r="D96" i="1"/>
  <c r="D141" i="1"/>
  <c r="G124" i="1"/>
  <c r="H102" i="1"/>
  <c r="H149" i="1"/>
  <c r="I123" i="1"/>
  <c r="J109" i="1"/>
  <c r="K138" i="1"/>
  <c r="L134" i="1"/>
  <c r="D97" i="1"/>
  <c r="D142" i="1"/>
  <c r="F108" i="1"/>
  <c r="G126" i="1"/>
  <c r="H103" i="1"/>
  <c r="H150" i="1"/>
  <c r="I124" i="1"/>
  <c r="J130" i="1"/>
  <c r="L90" i="1"/>
  <c r="L135" i="1"/>
  <c r="L96" i="1"/>
  <c r="L140" i="1"/>
  <c r="E140" i="1"/>
  <c r="J139" i="1"/>
  <c r="J140" i="1"/>
  <c r="E143" i="1"/>
  <c r="E115" i="1"/>
  <c r="J113" i="1"/>
  <c r="F119" i="1"/>
  <c r="F142" i="1"/>
  <c r="K120" i="1"/>
  <c r="E122" i="1"/>
  <c r="K142" i="1"/>
  <c r="E150" i="1"/>
  <c r="J149" i="1"/>
  <c r="F116" i="1"/>
  <c r="J150" i="1"/>
  <c r="L112" i="1"/>
  <c r="F86" i="1"/>
  <c r="G120" i="1"/>
  <c r="J124" i="1"/>
  <c r="K84" i="1"/>
  <c r="K116" i="1"/>
  <c r="L119" i="1"/>
  <c r="D103" i="1"/>
  <c r="D133" i="1"/>
  <c r="E95" i="1"/>
  <c r="E127" i="1"/>
  <c r="F87" i="1"/>
  <c r="F118" i="1"/>
  <c r="F148" i="1"/>
  <c r="G121" i="1"/>
  <c r="G142" i="1"/>
  <c r="H108" i="1"/>
  <c r="H137" i="1"/>
  <c r="I102" i="1"/>
  <c r="I132" i="1"/>
  <c r="J94" i="1"/>
  <c r="J126" i="1"/>
  <c r="K117" i="1"/>
  <c r="K147" i="1"/>
  <c r="L120" i="1"/>
  <c r="L141" i="1"/>
  <c r="E139" i="1"/>
  <c r="E121" i="1"/>
  <c r="J121" i="1"/>
  <c r="E84" i="1"/>
  <c r="K112" i="1"/>
  <c r="J116" i="1"/>
  <c r="F121" i="1"/>
  <c r="J147" i="1"/>
  <c r="E89" i="1"/>
  <c r="J87" i="1"/>
  <c r="F115" i="1"/>
  <c r="K113" i="1"/>
  <c r="E93" i="1"/>
  <c r="E124" i="1"/>
  <c r="F146" i="1"/>
  <c r="G140" i="1"/>
  <c r="J90" i="1"/>
  <c r="K115" i="1"/>
  <c r="K144" i="1"/>
  <c r="E94" i="1"/>
  <c r="F117" i="1"/>
  <c r="G141" i="1"/>
  <c r="J93" i="1"/>
  <c r="D104" i="1"/>
  <c r="D134" i="1"/>
  <c r="E96" i="1"/>
  <c r="E129" i="1"/>
  <c r="F89" i="1"/>
  <c r="F122" i="1"/>
  <c r="F149" i="1"/>
  <c r="G113" i="1"/>
  <c r="G143" i="1"/>
  <c r="H109" i="1"/>
  <c r="H138" i="1"/>
  <c r="I103" i="1"/>
  <c r="I133" i="1"/>
  <c r="J95" i="1"/>
  <c r="J127" i="1"/>
  <c r="K87" i="1"/>
  <c r="K118" i="1"/>
  <c r="K148" i="1"/>
  <c r="L121" i="1"/>
  <c r="L142" i="1"/>
  <c r="E119" i="1"/>
  <c r="J119" i="1"/>
  <c r="F112" i="1"/>
  <c r="J143" i="1"/>
  <c r="E116" i="1"/>
  <c r="J115" i="1"/>
  <c r="E147" i="1"/>
  <c r="K119" i="1"/>
  <c r="E148" i="1"/>
  <c r="J117" i="1"/>
  <c r="F143" i="1"/>
  <c r="K121" i="1"/>
  <c r="G139" i="1"/>
  <c r="J122" i="1"/>
  <c r="F84" i="1"/>
  <c r="G119" i="1"/>
  <c r="J123" i="1"/>
  <c r="L139" i="1"/>
  <c r="E126" i="1"/>
  <c r="F147" i="1"/>
  <c r="K146" i="1"/>
  <c r="D105" i="1"/>
  <c r="D135" i="1"/>
  <c r="E97" i="1"/>
  <c r="E130" i="1"/>
  <c r="F90" i="1"/>
  <c r="F123" i="1"/>
  <c r="F150" i="1"/>
  <c r="G115" i="1"/>
  <c r="G144" i="1"/>
  <c r="H112" i="1"/>
  <c r="H139" i="1"/>
  <c r="I104" i="1"/>
  <c r="I134" i="1"/>
  <c r="J96" i="1"/>
  <c r="J129" i="1"/>
  <c r="K89" i="1"/>
  <c r="K122" i="1"/>
  <c r="K149" i="1"/>
  <c r="L113" i="1"/>
  <c r="L143" i="1"/>
  <c r="J112" i="1"/>
  <c r="E120" i="1"/>
  <c r="E146" i="1"/>
  <c r="J144" i="1"/>
  <c r="F120" i="1"/>
  <c r="J84" i="1"/>
  <c r="E87" i="1"/>
  <c r="K141" i="1"/>
  <c r="E123" i="1"/>
  <c r="K143" i="1"/>
  <c r="F124" i="1"/>
  <c r="K150" i="1"/>
  <c r="F94" i="1"/>
  <c r="H120" i="1"/>
  <c r="L84" i="1"/>
  <c r="F83" i="1"/>
  <c r="D109" i="1"/>
  <c r="D138" i="1"/>
  <c r="E103" i="1"/>
  <c r="E133" i="1"/>
  <c r="F95" i="1"/>
  <c r="G87" i="1"/>
  <c r="G118" i="1"/>
  <c r="G148" i="1"/>
  <c r="H142" i="1"/>
  <c r="K126" i="1"/>
  <c r="L86" i="1"/>
  <c r="L117" i="1"/>
  <c r="L147" i="1"/>
  <c r="E141" i="1"/>
  <c r="E113" i="1"/>
  <c r="J142" i="1"/>
  <c r="F139" i="1"/>
  <c r="F140" i="1"/>
  <c r="K139" i="1"/>
  <c r="E117" i="1"/>
  <c r="F141" i="1"/>
  <c r="J146" i="1"/>
  <c r="E118" i="1"/>
  <c r="J86" i="1"/>
  <c r="F113" i="1"/>
  <c r="J118" i="1"/>
  <c r="E90" i="1"/>
  <c r="G112" i="1"/>
  <c r="J89" i="1"/>
  <c r="D83" i="1"/>
  <c r="L144" i="1"/>
  <c r="H141" i="1"/>
  <c r="L116" i="1"/>
  <c r="G83" i="1"/>
  <c r="D112" i="1"/>
  <c r="D139" i="1"/>
  <c r="E104" i="1"/>
  <c r="E134" i="1"/>
  <c r="F96" i="1"/>
  <c r="F129" i="1"/>
  <c r="G89" i="1"/>
  <c r="G122" i="1"/>
  <c r="G149" i="1"/>
  <c r="L148" i="1"/>
  <c r="E112" i="1"/>
  <c r="E144" i="1"/>
  <c r="E86" i="1"/>
  <c r="K140" i="1"/>
  <c r="E149" i="1"/>
  <c r="F144" i="1"/>
  <c r="F93" i="1"/>
  <c r="G146" i="1"/>
  <c r="H119" i="1"/>
  <c r="H140" i="1"/>
  <c r="K90" i="1"/>
  <c r="K123" i="1"/>
  <c r="L115" i="1"/>
  <c r="E83" i="1"/>
  <c r="P41" i="1"/>
  <c r="Q41" i="1" s="1"/>
  <c r="P32" i="1"/>
  <c r="Q32" i="1" s="1"/>
  <c r="P21" i="1"/>
  <c r="Q21" i="1" s="1"/>
  <c r="P62" i="1"/>
  <c r="Q62" i="1" s="1"/>
  <c r="P52" i="1"/>
  <c r="Q52" i="1" s="1"/>
  <c r="P42" i="1"/>
  <c r="Q42" i="1" s="1"/>
  <c r="P43" i="1"/>
  <c r="Q43" i="1" s="1"/>
  <c r="P39" i="1"/>
  <c r="Q39" i="1" s="1"/>
  <c r="P60" i="1"/>
  <c r="Q60" i="1" s="1"/>
  <c r="P65" i="1"/>
  <c r="Q65" i="1" s="1"/>
  <c r="P66" i="1"/>
  <c r="Q66" i="1" s="1"/>
  <c r="N155" i="1" l="1"/>
  <c r="N156" i="1" s="1"/>
  <c r="Q96" i="1"/>
  <c r="Q94" i="1"/>
  <c r="Q111" i="1"/>
  <c r="R111" i="1" s="1"/>
  <c r="D173" i="1" s="1"/>
  <c r="Q143" i="1"/>
  <c r="Q83" i="1"/>
  <c r="Q141" i="1"/>
  <c r="Q149" i="1"/>
  <c r="Q146" i="1"/>
  <c r="R146" i="1" s="1"/>
  <c r="D188" i="1" s="1"/>
  <c r="Q132" i="1"/>
  <c r="R132" i="1" s="1"/>
  <c r="D183" i="1" s="1"/>
  <c r="Q90" i="1"/>
  <c r="Q130" i="1"/>
  <c r="Q129" i="1"/>
  <c r="Q138" i="1"/>
  <c r="Q133" i="1"/>
  <c r="Q127" i="1"/>
  <c r="Q124" i="1"/>
  <c r="Q106" i="1"/>
  <c r="Q109" i="1"/>
  <c r="Q103" i="1"/>
  <c r="Q86" i="1"/>
  <c r="Q137" i="1"/>
  <c r="Q97" i="1"/>
  <c r="Q136" i="1"/>
  <c r="Q102" i="1"/>
  <c r="Q118" i="1"/>
  <c r="Q122" i="1"/>
  <c r="R122" i="1" s="1"/>
  <c r="D177" i="1" s="1"/>
  <c r="Q119" i="1"/>
  <c r="Q134" i="1"/>
  <c r="Q117" i="1"/>
  <c r="Q104" i="1"/>
  <c r="Q95" i="1"/>
  <c r="Q107" i="1"/>
  <c r="R107" i="1" s="1"/>
  <c r="D169" i="1" s="1"/>
  <c r="Q142" i="1"/>
  <c r="Q148" i="1"/>
  <c r="Q123" i="1"/>
  <c r="Q147" i="1"/>
  <c r="Q115" i="1"/>
  <c r="Q135" i="1"/>
  <c r="Q84" i="1"/>
  <c r="Q139" i="1"/>
  <c r="Q105" i="1"/>
  <c r="Q112" i="1"/>
  <c r="R112" i="1" s="1"/>
  <c r="D174" i="1" s="1"/>
  <c r="Q93" i="1"/>
  <c r="Q150" i="1"/>
  <c r="R150" i="1" s="1"/>
  <c r="D190" i="1" s="1"/>
  <c r="Q113" i="1"/>
  <c r="Q89" i="1"/>
  <c r="Q131" i="1"/>
  <c r="Q126" i="1"/>
  <c r="Q121" i="1"/>
  <c r="H100" i="1"/>
  <c r="H155" i="1" s="1"/>
  <c r="H156" i="1" s="1"/>
  <c r="Q100" i="1"/>
  <c r="R99" i="1" s="1"/>
  <c r="D166" i="1" s="1"/>
  <c r="Q116" i="1"/>
  <c r="Q144" i="1"/>
  <c r="Q140" i="1"/>
  <c r="Q87" i="1"/>
  <c r="R87" i="1" s="1"/>
  <c r="D161" i="1" s="1"/>
  <c r="Q108" i="1"/>
  <c r="R108" i="1" s="1"/>
  <c r="D170" i="1" s="1"/>
  <c r="Q145" i="1"/>
  <c r="Q120" i="1"/>
  <c r="D155" i="1"/>
  <c r="E155" i="1"/>
  <c r="E156" i="1" s="1"/>
  <c r="M155" i="1"/>
  <c r="M156" i="1" s="1"/>
  <c r="I155" i="1"/>
  <c r="I156" i="1" s="1"/>
  <c r="E105" i="2"/>
  <c r="I35" i="2"/>
  <c r="I75" i="2" s="1"/>
  <c r="J75" i="2" s="1"/>
  <c r="J25" i="2"/>
  <c r="J35" i="2" s="1"/>
  <c r="J67" i="2" s="1"/>
  <c r="C190" i="1"/>
  <c r="C192" i="1" s="1"/>
  <c r="R109" i="1"/>
  <c r="D171" i="1" s="1"/>
  <c r="J114" i="1"/>
  <c r="F114" i="1"/>
  <c r="F155" i="1" s="1"/>
  <c r="R124" i="1"/>
  <c r="D179" i="1" s="1"/>
  <c r="R123" i="1"/>
  <c r="D178" i="1" s="1"/>
  <c r="D144" i="2"/>
  <c r="D145" i="2" s="1"/>
  <c r="E144" i="2"/>
  <c r="E145" i="2" s="1"/>
  <c r="Q2" i="1"/>
  <c r="P69" i="1"/>
  <c r="Q69" i="1" s="1"/>
  <c r="Q71" i="1" l="1"/>
  <c r="Q72" i="1"/>
  <c r="D156" i="1"/>
  <c r="P71" i="1"/>
  <c r="F156" i="1"/>
  <c r="J155" i="1"/>
  <c r="J156" i="1" s="1"/>
  <c r="J74" i="2"/>
  <c r="R89" i="1"/>
  <c r="D163" i="1" s="1"/>
  <c r="G114" i="1"/>
  <c r="K114" i="1"/>
  <c r="R83" i="1"/>
  <c r="D160" i="1" s="1"/>
  <c r="R137" i="1"/>
  <c r="D185" i="1" s="1"/>
  <c r="R102" i="1"/>
  <c r="D168" i="1" s="1"/>
  <c r="D181" i="1"/>
  <c r="R140" i="1"/>
  <c r="D186" i="1" s="1"/>
  <c r="R119" i="1"/>
  <c r="D176" i="1" s="1"/>
  <c r="R93" i="1"/>
  <c r="D164" i="1" s="1"/>
  <c r="R143" i="1"/>
  <c r="D187" i="1" s="1"/>
  <c r="R129" i="1"/>
  <c r="D182" i="1" s="1"/>
  <c r="R147" i="1"/>
  <c r="D189" i="1" s="1"/>
  <c r="R133" i="1"/>
  <c r="D184" i="1" s="1"/>
  <c r="H144" i="2"/>
  <c r="G155" i="1" l="1"/>
  <c r="K155" i="1"/>
  <c r="L114" i="1"/>
  <c r="L155" i="1" s="1"/>
  <c r="H145" i="2"/>
  <c r="I144" i="2"/>
  <c r="O155" i="1" l="1"/>
  <c r="O156" i="1" s="1"/>
  <c r="Q114" i="1"/>
  <c r="Q155" i="1" s="1"/>
  <c r="K156" i="1"/>
  <c r="G156" i="1"/>
  <c r="L156" i="1"/>
  <c r="P155" i="1" l="1"/>
  <c r="R113" i="1"/>
  <c r="D175" i="1" l="1"/>
  <c r="D192" i="1" s="1"/>
  <c r="R155" i="1"/>
</calcChain>
</file>

<file path=xl/sharedStrings.xml><?xml version="1.0" encoding="utf-8"?>
<sst xmlns="http://schemas.openxmlformats.org/spreadsheetml/2006/main" count="569" uniqueCount="146">
  <si>
    <t>Paikkakunta</t>
  </si>
  <si>
    <t>Koulu</t>
  </si>
  <si>
    <t>km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</si>
  <si>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</si>
  <si>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</si>
  <si>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</si>
  <si>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</si>
  <si>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</si>
  <si>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</si>
  <si>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</si>
  <si>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</si>
  <si>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yhteensä</t>
  </si>
  <si>
    <t>km/suunta</t>
  </si>
  <si>
    <t>Akaa</t>
  </si>
  <si>
    <t>Akaa areena</t>
  </si>
  <si>
    <t>Pappilan koulu</t>
  </si>
  <si>
    <t>Viialan palloiluhalli</t>
  </si>
  <si>
    <t>Alahärmä</t>
  </si>
  <si>
    <t>Härmä areena</t>
  </si>
  <si>
    <t>Helsinki</t>
  </si>
  <si>
    <t>Lehto areena</t>
  </si>
  <si>
    <t>Malmin peruskoulu</t>
  </si>
  <si>
    <t>Hämeenlinna</t>
  </si>
  <si>
    <t>Loimua areena</t>
  </si>
  <si>
    <t>Nummen yhtenäiskoulu</t>
  </si>
  <si>
    <t>Ojoisten lastentalo</t>
  </si>
  <si>
    <t>Rengon koulu</t>
  </si>
  <si>
    <t>Seminaarin koulu</t>
  </si>
  <si>
    <t>Jyväskylä</t>
  </si>
  <si>
    <t>Tikkakosken liikuntahalli</t>
  </si>
  <si>
    <t>Kangasala</t>
  </si>
  <si>
    <t>Kangasalan lukio</t>
  </si>
  <si>
    <t>Malm areena</t>
  </si>
  <si>
    <t>Pikkolan urheilutalo</t>
  </si>
  <si>
    <t>Pitkäjärven koulu</t>
  </si>
  <si>
    <t>Vatialan koulu</t>
  </si>
  <si>
    <t>Kokkola</t>
  </si>
  <si>
    <t>Hakalahden koulu</t>
  </si>
  <si>
    <t>Laihia</t>
  </si>
  <si>
    <t>Laihian monitoimitalo</t>
  </si>
  <si>
    <t>Loimaa</t>
  </si>
  <si>
    <t>Alastaro halli</t>
  </si>
  <si>
    <t>HIrvihovi</t>
  </si>
  <si>
    <t>Loimaan liikuntahalli</t>
  </si>
  <si>
    <t>Lempäälä</t>
  </si>
  <si>
    <t>Hakkarin liikuntahalli</t>
  </si>
  <si>
    <t>Kuljun liikuntahalli</t>
  </si>
  <si>
    <t>Lempäälä Areena</t>
  </si>
  <si>
    <t>Lempoisten liikuntahalli</t>
  </si>
  <si>
    <t>Sääksjärven koulu</t>
  </si>
  <si>
    <t>Liperi</t>
  </si>
  <si>
    <t>Jyrin liikuntahalli</t>
  </si>
  <si>
    <t>Masku</t>
  </si>
  <si>
    <t>Kurittulan koulu</t>
  </si>
  <si>
    <t>Orivesi</t>
  </si>
  <si>
    <t>Oriveden liikuntahalli</t>
  </si>
  <si>
    <t>Pirkkala</t>
  </si>
  <si>
    <t>Nuolialan koulu</t>
  </si>
  <si>
    <t>Suupanniityn koulu</t>
  </si>
  <si>
    <t>Raisio</t>
  </si>
  <si>
    <t>Kerttulan liikuntahalli</t>
  </si>
  <si>
    <t>Raision ammattikoulu</t>
  </si>
  <si>
    <t>Raision ammattiopisto</t>
  </si>
  <si>
    <t>Rauma</t>
  </si>
  <si>
    <t>Lapin liikuntahalli</t>
  </si>
  <si>
    <t>Salo</t>
  </si>
  <si>
    <t>Halikon liikuntahalli</t>
  </si>
  <si>
    <t>Kiskohalli</t>
  </si>
  <si>
    <t>Ollikkalan koulu</t>
  </si>
  <si>
    <t>Perniön liikuntahalli</t>
  </si>
  <si>
    <t>Sastamala</t>
  </si>
  <si>
    <t>Sylvaan koulu</t>
  </si>
  <si>
    <t>Vexve areena</t>
  </si>
  <si>
    <t>Vareliuksen liikuntahalli</t>
  </si>
  <si>
    <t>Tampere</t>
  </si>
  <si>
    <t>LInnainmaan koulu</t>
  </si>
  <si>
    <t>Sorilan koulu</t>
  </si>
  <si>
    <t>Vehmaisten koulu</t>
  </si>
  <si>
    <t>Valkeakoski</t>
  </si>
  <si>
    <t>Apian urheilutalo</t>
  </si>
  <si>
    <t>Valkeakosken ammattioppilaitos</t>
  </si>
  <si>
    <t>Vilppula</t>
  </si>
  <si>
    <t>Parkkivuoren urheilutalo</t>
  </si>
  <si>
    <t>Ylöjärvi</t>
  </si>
  <si>
    <t>Metsäkylän koulu</t>
  </si>
  <si>
    <t>Soppeenharjun koulu</t>
  </si>
  <si>
    <t>Ylöjärven urheilutalo</t>
  </si>
  <si>
    <t>Ypäjä</t>
  </si>
  <si>
    <t>Liikuntahalli Pertunkaari</t>
  </si>
  <si>
    <t>,</t>
  </si>
  <si>
    <t>pelipaikkoja</t>
  </si>
  <si>
    <t xml:space="preserve">Orivesi </t>
  </si>
  <si>
    <t>Rauma (Lappi)</t>
  </si>
  <si>
    <t>2024-2025</t>
  </si>
  <si>
    <t>Koski Tl</t>
  </si>
  <si>
    <t>Kosken liikuntahalli</t>
  </si>
  <si>
    <t>Koski TL</t>
  </si>
  <si>
    <t>ka/matka</t>
  </si>
  <si>
    <t>Kiuruvesi</t>
  </si>
  <si>
    <t>Kuortane</t>
  </si>
  <si>
    <t>Kuortaneen urheiluopisto</t>
  </si>
  <si>
    <t>Kiuruveden liikuntahalli</t>
  </si>
  <si>
    <t>Valkeakosken lukio</t>
  </si>
  <si>
    <t>Pyynikki</t>
  </si>
  <si>
    <t>Eura</t>
  </si>
  <si>
    <t>Tuomiojärven uimaranta</t>
  </si>
  <si>
    <t>Euran urheilukeskus</t>
  </si>
  <si>
    <t>Hietsu</t>
  </si>
  <si>
    <t>Vaasa</t>
  </si>
  <si>
    <t>Paratiisisaaren uimaranta</t>
  </si>
  <si>
    <t>Vantaa</t>
  </si>
  <si>
    <t>Hiekka beach volley club</t>
  </si>
  <si>
    <t>Hanko</t>
  </si>
  <si>
    <t>Casinon ranta</t>
  </si>
  <si>
    <t>Turku</t>
  </si>
  <si>
    <t>Urheilupuiston rantalentopallokentät</t>
  </si>
  <si>
    <t>Biitsi Vantaa</t>
  </si>
  <si>
    <t>2025-2026</t>
  </si>
  <si>
    <t>paikkaa</t>
  </si>
  <si>
    <t>Niemenrannan koulu</t>
  </si>
  <si>
    <t>Oulunsalo</t>
  </si>
  <si>
    <t>Gradia Viitaniemi</t>
  </si>
  <si>
    <t>Kouvola</t>
  </si>
  <si>
    <t>Korian monitoimitalo</t>
  </si>
  <si>
    <t>Linnainmaan koulu</t>
  </si>
  <si>
    <t>Isojoki</t>
  </si>
  <si>
    <t>Isojoen monitoimihalli</t>
  </si>
  <si>
    <t>Isojoen monitoimitalo</t>
  </si>
  <si>
    <t>Kanavan koulu</t>
  </si>
  <si>
    <t>Forssa</t>
  </si>
  <si>
    <t>Riihivalkaman koulu</t>
  </si>
  <si>
    <t>Järvenpää</t>
  </si>
  <si>
    <t>Järvenpään yhteiskoulu</t>
  </si>
  <si>
    <t>Viikin normaalikoulu</t>
  </si>
  <si>
    <t>Kiurusvesi</t>
  </si>
  <si>
    <t>Suutarinkylän peruskoulu</t>
  </si>
  <si>
    <t>Ähtäri</t>
  </si>
  <si>
    <t>Ähtärin liikuntahalli</t>
  </si>
  <si>
    <t>Hattelmalan kylä</t>
  </si>
  <si>
    <t>Beachbox</t>
  </si>
  <si>
    <t>Karkkila</t>
  </si>
  <si>
    <t>Karkkilan Beach Volley Areena</t>
  </si>
  <si>
    <t>2026-2027</t>
  </si>
  <si>
    <t>Toijalan monitoimihalli</t>
  </si>
  <si>
    <t>Vapaa-aikakeskus</t>
  </si>
  <si>
    <t>18.10.2026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</si>
</sst>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6" fillId="2" borderId="1" xfId="0" applyFont="1" applyFill="1" applyBorder="1"/>
    <xf numFmtId="0" fontId="0" fillId="3" borderId="1" xfId="0" applyFill="1" applyBorder="1"/>
    <xf numFmtId="0" fontId="5" fillId="2" borderId="1" xfId="0" applyFont="1" applyFill="1" applyBorder="1"/>
    <xf numFmtId="0" fontId="0" fillId="2" borderId="1" xfId="0" applyFill="1" applyBorder="1"/>
    <xf numFmtId="0" fontId="6" fillId="2" borderId="2" xfId="0" applyFont="1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4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  <xf numFmtId="0" fontId="0" fillId="4" borderId="0" xfId="0" applyFill="1"/>
    <xf numFmtId="0" fontId="0" fillId="3" borderId="0" xfId="0" applyFill="1"/>
    <xf numFmtId="0" fontId="1" fillId="4" borderId="1" xfId="0" applyFont="1" applyFill="1" applyBorder="1"/>
    <xf numFmtId="0" fontId="1" fillId="3" borderId="1" xfId="0" applyFont="1" applyFill="1" applyBorder="1"/>
    <xf numFmtId="0" fontId="4" fillId="3" borderId="0" xfId="0" applyFont="1" applyFill="1"/>
    <xf numFmtId="0" fontId="4" fillId="3" borderId="1" xfId="0" applyFont="1" applyFill="1" applyBorder="1"/>
    <xf numFmtId="0" fontId="0" fillId="3" borderId="1" xfId="0" quotePrefix="1" applyFill="1" applyBorder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5CB8-B7D3-4EC5-84DD-BC18A741831D}">
  <dimension ref="A1:AE192"/>
  <sheetViews>
    <sheetView tabSelected="1" topLeftCell="B1" workbookViewId="0">
      <selection activeCell="E6" sqref="E6"/>
    </sheetView>
  </sheetViews>
  <sheetFormatPr defaultRowHeight="14.4" x14ac:dyDescent="0.3"/>
  <cols>
    <col min="1" max="1" width="10.77734375" customWidth="1"/>
    <col min="2" max="2" width="22.77734375" customWidth="1"/>
    <col min="3" max="11" width="9.77734375" customWidth="1"/>
    <col min="12" max="12" width="10.5546875" customWidth="1"/>
    <col min="13" max="17" width="9.77734375" customWidth="1"/>
    <col min="19" max="19" width="10.5546875" style="17" bestFit="1" customWidth="1"/>
    <col min="20" max="31" width="8.88671875" style="17"/>
  </cols>
  <sheetData>
    <row r="1" spans="1:1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93</v>
      </c>
      <c r="M1" s="7" t="s">
        <v>117</v>
      </c>
      <c r="N1" s="7" t="s">
        <v>142</v>
      </c>
      <c r="O1" s="7" t="s">
        <v>11</v>
      </c>
      <c r="P1" s="7" t="s">
        <v>12</v>
      </c>
      <c r="Q1" s="7" t="s">
        <v>11</v>
      </c>
      <c r="R1" s="11" t="s">
        <v>118</v>
      </c>
      <c r="S1" s="24" t="s">
        <v>145</v>
      </c>
    </row>
    <row r="2" spans="1:19" x14ac:dyDescent="0.3">
      <c r="A2" s="8" t="s">
        <v>13</v>
      </c>
      <c r="B2" s="8" t="s">
        <v>14</v>
      </c>
      <c r="C2" s="8">
        <v>8</v>
      </c>
      <c r="D2" s="8"/>
      <c r="E2" s="8"/>
      <c r="F2" s="8"/>
      <c r="G2" s="8"/>
      <c r="H2" s="8"/>
      <c r="I2" s="8"/>
      <c r="J2" s="8">
        <v>1</v>
      </c>
      <c r="K2" s="8"/>
      <c r="L2" s="8">
        <v>1</v>
      </c>
      <c r="M2" s="8">
        <v>2</v>
      </c>
      <c r="N2" s="8"/>
      <c r="O2" s="8">
        <f>SUM(D2:N2)</f>
        <v>4</v>
      </c>
      <c r="P2" s="8">
        <f t="shared" ref="P2:P34" si="0">C2*O2</f>
        <v>32</v>
      </c>
      <c r="Q2" s="8">
        <f t="shared" ref="Q2:Q70" si="1">2*P2</f>
        <v>64</v>
      </c>
      <c r="R2" s="8">
        <v>4</v>
      </c>
    </row>
    <row r="3" spans="1:19" x14ac:dyDescent="0.3">
      <c r="A3" s="8" t="s">
        <v>13</v>
      </c>
      <c r="B3" s="8" t="s">
        <v>15</v>
      </c>
      <c r="C3" s="8">
        <v>1</v>
      </c>
      <c r="D3" s="8"/>
      <c r="E3" s="8">
        <v>1</v>
      </c>
      <c r="F3" s="8">
        <v>1</v>
      </c>
      <c r="G3" s="8"/>
      <c r="H3" s="8"/>
      <c r="I3" s="8"/>
      <c r="J3" s="8"/>
      <c r="K3" s="8"/>
      <c r="L3" s="8"/>
      <c r="M3" s="8"/>
      <c r="N3" s="8"/>
      <c r="O3" s="8">
        <f t="shared" ref="O3:O68" si="2">SUM(D3:N3)</f>
        <v>2</v>
      </c>
      <c r="P3" s="8">
        <f t="shared" si="0"/>
        <v>2</v>
      </c>
      <c r="Q3" s="8">
        <f t="shared" si="1"/>
        <v>4</v>
      </c>
      <c r="R3" s="8"/>
    </row>
    <row r="4" spans="1:19" x14ac:dyDescent="0.3">
      <c r="A4" s="8" t="s">
        <v>13</v>
      </c>
      <c r="B4" s="8" t="s">
        <v>143</v>
      </c>
      <c r="C4" s="8"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>
        <v>1</v>
      </c>
      <c r="O4" s="8">
        <f t="shared" si="2"/>
        <v>1</v>
      </c>
      <c r="P4" s="8">
        <f t="shared" si="0"/>
        <v>4</v>
      </c>
      <c r="Q4" s="8">
        <f t="shared" si="1"/>
        <v>8</v>
      </c>
      <c r="R4" s="8"/>
    </row>
    <row r="5" spans="1:19" x14ac:dyDescent="0.3">
      <c r="A5" s="8" t="s">
        <v>13</v>
      </c>
      <c r="B5" s="8" t="s">
        <v>16</v>
      </c>
      <c r="C5" s="8">
        <v>8</v>
      </c>
      <c r="D5" s="8">
        <v>1</v>
      </c>
      <c r="E5" s="8">
        <v>3</v>
      </c>
      <c r="F5" s="8">
        <v>1</v>
      </c>
      <c r="G5" s="8"/>
      <c r="H5" s="8"/>
      <c r="I5" s="8"/>
      <c r="J5" s="8"/>
      <c r="K5" s="8"/>
      <c r="L5" s="8"/>
      <c r="M5" s="8"/>
      <c r="N5" s="8"/>
      <c r="O5" s="8">
        <f t="shared" si="2"/>
        <v>5</v>
      </c>
      <c r="P5" s="8">
        <f t="shared" si="0"/>
        <v>40</v>
      </c>
      <c r="Q5" s="8">
        <f t="shared" si="1"/>
        <v>80</v>
      </c>
      <c r="R5" s="8" t="s">
        <v>89</v>
      </c>
    </row>
    <row r="6" spans="1:19" x14ac:dyDescent="0.3">
      <c r="A6" s="6" t="s">
        <v>17</v>
      </c>
      <c r="B6" s="6" t="s">
        <v>18</v>
      </c>
      <c r="C6" s="6">
        <v>282</v>
      </c>
      <c r="D6" s="6"/>
      <c r="E6" s="6"/>
      <c r="F6" s="6"/>
      <c r="G6" s="6"/>
      <c r="H6" s="6"/>
      <c r="I6" s="6"/>
      <c r="J6" s="6">
        <v>1</v>
      </c>
      <c r="K6" s="6"/>
      <c r="L6" s="6"/>
      <c r="M6" s="6">
        <v>1</v>
      </c>
      <c r="N6" s="6"/>
      <c r="O6" s="14">
        <f t="shared" si="2"/>
        <v>2</v>
      </c>
      <c r="P6" s="6">
        <f t="shared" si="0"/>
        <v>564</v>
      </c>
      <c r="Q6" s="6">
        <f t="shared" si="1"/>
        <v>1128</v>
      </c>
      <c r="R6" s="6">
        <v>1</v>
      </c>
    </row>
    <row r="7" spans="1:19" x14ac:dyDescent="0.3">
      <c r="A7" s="8" t="s">
        <v>129</v>
      </c>
      <c r="B7" s="8" t="s">
        <v>130</v>
      </c>
      <c r="C7" s="8">
        <v>74</v>
      </c>
      <c r="D7" s="8"/>
      <c r="E7" s="8"/>
      <c r="F7" s="8"/>
      <c r="G7" s="8"/>
      <c r="H7" s="8"/>
      <c r="I7" s="8"/>
      <c r="J7" s="8"/>
      <c r="K7" s="8"/>
      <c r="L7" s="8"/>
      <c r="M7" s="8">
        <v>1</v>
      </c>
      <c r="N7" s="8"/>
      <c r="O7" s="8">
        <f t="shared" si="2"/>
        <v>1</v>
      </c>
      <c r="P7" s="8">
        <f t="shared" si="0"/>
        <v>74</v>
      </c>
      <c r="Q7" s="8">
        <f t="shared" si="1"/>
        <v>148</v>
      </c>
      <c r="R7" s="8">
        <v>1</v>
      </c>
    </row>
    <row r="8" spans="1:19" x14ac:dyDescent="0.3">
      <c r="A8" s="14" t="s">
        <v>19</v>
      </c>
      <c r="B8" s="14" t="s">
        <v>20</v>
      </c>
      <c r="C8" s="14">
        <v>139</v>
      </c>
      <c r="D8" s="14"/>
      <c r="E8" s="14"/>
      <c r="F8" s="14"/>
      <c r="G8" s="14"/>
      <c r="H8" s="14"/>
      <c r="I8" s="14"/>
      <c r="J8" s="14"/>
      <c r="K8" s="14">
        <v>1</v>
      </c>
      <c r="L8" s="14"/>
      <c r="M8" s="14">
        <v>3</v>
      </c>
      <c r="N8" s="14"/>
      <c r="O8" s="14">
        <f t="shared" si="2"/>
        <v>4</v>
      </c>
      <c r="P8" s="14">
        <f t="shared" si="0"/>
        <v>556</v>
      </c>
      <c r="Q8" s="14">
        <f t="shared" si="1"/>
        <v>1112</v>
      </c>
      <c r="R8" s="14">
        <v>4</v>
      </c>
    </row>
    <row r="9" spans="1:19" x14ac:dyDescent="0.3">
      <c r="A9" s="14" t="s">
        <v>19</v>
      </c>
      <c r="B9" s="14" t="s">
        <v>21</v>
      </c>
      <c r="C9" s="14">
        <v>141</v>
      </c>
      <c r="D9" s="14"/>
      <c r="E9" s="14"/>
      <c r="F9" s="14"/>
      <c r="G9" s="14"/>
      <c r="H9" s="14"/>
      <c r="I9" s="14">
        <v>1</v>
      </c>
      <c r="J9" s="14"/>
      <c r="K9" s="14"/>
      <c r="L9" s="14"/>
      <c r="M9" s="14"/>
      <c r="N9" s="14"/>
      <c r="O9" s="14">
        <f t="shared" si="2"/>
        <v>1</v>
      </c>
      <c r="P9" s="14">
        <f t="shared" si="0"/>
        <v>141</v>
      </c>
      <c r="Q9" s="14">
        <f t="shared" si="1"/>
        <v>282</v>
      </c>
      <c r="R9" s="14"/>
    </row>
    <row r="10" spans="1:19" x14ac:dyDescent="0.3">
      <c r="A10" s="14" t="s">
        <v>19</v>
      </c>
      <c r="B10" s="14" t="s">
        <v>135</v>
      </c>
      <c r="C10" s="14">
        <v>138</v>
      </c>
      <c r="D10" s="14"/>
      <c r="E10" s="14"/>
      <c r="F10" s="14"/>
      <c r="G10" s="14"/>
      <c r="H10" s="14"/>
      <c r="I10" s="14"/>
      <c r="J10" s="14"/>
      <c r="K10" s="14"/>
      <c r="L10" s="14"/>
      <c r="M10" s="14">
        <v>1</v>
      </c>
      <c r="N10" s="14"/>
      <c r="O10" s="14">
        <f t="shared" si="2"/>
        <v>1</v>
      </c>
      <c r="P10" s="14">
        <f t="shared" si="0"/>
        <v>138</v>
      </c>
      <c r="Q10" s="14">
        <f t="shared" si="1"/>
        <v>276</v>
      </c>
      <c r="R10" s="14"/>
    </row>
    <row r="11" spans="1:19" x14ac:dyDescent="0.3">
      <c r="A11" s="14" t="s">
        <v>19</v>
      </c>
      <c r="B11" s="14" t="s">
        <v>133</v>
      </c>
      <c r="C11" s="14">
        <v>146</v>
      </c>
      <c r="D11" s="14"/>
      <c r="E11" s="14"/>
      <c r="F11" s="14"/>
      <c r="G11" s="14"/>
      <c r="H11" s="14"/>
      <c r="I11" s="14"/>
      <c r="J11" s="14"/>
      <c r="K11" s="14"/>
      <c r="L11" s="14">
        <v>1</v>
      </c>
      <c r="M11" s="14"/>
      <c r="N11" s="14"/>
      <c r="O11" s="14">
        <f t="shared" si="2"/>
        <v>1</v>
      </c>
      <c r="P11" s="14">
        <f t="shared" si="0"/>
        <v>146</v>
      </c>
      <c r="Q11" s="14">
        <f t="shared" si="1"/>
        <v>292</v>
      </c>
      <c r="R11" s="14"/>
    </row>
    <row r="12" spans="1:19" x14ac:dyDescent="0.3">
      <c r="A12" s="8" t="s">
        <v>22</v>
      </c>
      <c r="B12" s="8" t="s">
        <v>23</v>
      </c>
      <c r="C12" s="8">
        <v>33</v>
      </c>
      <c r="D12" s="8"/>
      <c r="E12" s="8"/>
      <c r="F12" s="8"/>
      <c r="G12" s="8"/>
      <c r="H12" s="8"/>
      <c r="I12" s="8"/>
      <c r="J12" s="8"/>
      <c r="K12" s="8">
        <v>1</v>
      </c>
      <c r="L12" s="8"/>
      <c r="M12" s="8"/>
      <c r="N12" s="8"/>
      <c r="O12" s="8">
        <f t="shared" si="2"/>
        <v>1</v>
      </c>
      <c r="P12" s="8">
        <f t="shared" si="0"/>
        <v>33</v>
      </c>
      <c r="Q12" s="8">
        <f t="shared" si="1"/>
        <v>66</v>
      </c>
      <c r="R12" s="8">
        <v>5</v>
      </c>
    </row>
    <row r="13" spans="1:19" x14ac:dyDescent="0.3">
      <c r="A13" s="8" t="s">
        <v>22</v>
      </c>
      <c r="B13" s="8" t="s">
        <v>24</v>
      </c>
      <c r="C13" s="8">
        <v>46</v>
      </c>
      <c r="D13" s="8"/>
      <c r="E13" s="8"/>
      <c r="F13" s="8"/>
      <c r="G13" s="8">
        <v>1</v>
      </c>
      <c r="H13" s="8"/>
      <c r="I13" s="8"/>
      <c r="J13" s="8"/>
      <c r="K13" s="8"/>
      <c r="L13" s="8"/>
      <c r="M13" s="8"/>
      <c r="N13" s="8"/>
      <c r="O13" s="8">
        <f t="shared" si="2"/>
        <v>1</v>
      </c>
      <c r="P13" s="8">
        <f t="shared" si="0"/>
        <v>46</v>
      </c>
      <c r="Q13" s="8">
        <f t="shared" si="1"/>
        <v>92</v>
      </c>
      <c r="R13" s="8"/>
    </row>
    <row r="14" spans="1:19" x14ac:dyDescent="0.3">
      <c r="A14" s="8" t="s">
        <v>22</v>
      </c>
      <c r="B14" s="8" t="s">
        <v>25</v>
      </c>
      <c r="C14" s="8">
        <v>42</v>
      </c>
      <c r="D14" s="8"/>
      <c r="E14" s="8"/>
      <c r="F14" s="8"/>
      <c r="G14" s="8"/>
      <c r="H14" s="8"/>
      <c r="I14" s="8"/>
      <c r="J14" s="8"/>
      <c r="K14" s="8">
        <v>1</v>
      </c>
      <c r="L14" s="8"/>
      <c r="M14" s="8">
        <v>10</v>
      </c>
      <c r="N14" s="8"/>
      <c r="O14" s="8">
        <f t="shared" si="2"/>
        <v>11</v>
      </c>
      <c r="P14" s="8">
        <f t="shared" si="0"/>
        <v>462</v>
      </c>
      <c r="Q14" s="8">
        <f t="shared" si="1"/>
        <v>924</v>
      </c>
      <c r="R14" s="8"/>
    </row>
    <row r="15" spans="1:19" x14ac:dyDescent="0.3">
      <c r="A15" s="8" t="s">
        <v>22</v>
      </c>
      <c r="B15" s="8" t="s">
        <v>26</v>
      </c>
      <c r="C15" s="8">
        <v>60</v>
      </c>
      <c r="D15" s="8"/>
      <c r="E15" s="8"/>
      <c r="F15" s="8"/>
      <c r="G15" s="8">
        <v>1</v>
      </c>
      <c r="H15" s="8"/>
      <c r="I15" s="8"/>
      <c r="J15" s="8"/>
      <c r="K15" s="8"/>
      <c r="L15" s="8"/>
      <c r="M15" s="8"/>
      <c r="N15" s="8"/>
      <c r="O15" s="8">
        <f t="shared" si="2"/>
        <v>1</v>
      </c>
      <c r="P15" s="8">
        <f t="shared" si="0"/>
        <v>60</v>
      </c>
      <c r="Q15" s="8">
        <f t="shared" si="1"/>
        <v>120</v>
      </c>
      <c r="R15" s="8"/>
    </row>
    <row r="16" spans="1:19" x14ac:dyDescent="0.3">
      <c r="A16" s="8" t="s">
        <v>22</v>
      </c>
      <c r="B16" s="8" t="s">
        <v>27</v>
      </c>
      <c r="C16" s="8">
        <v>43</v>
      </c>
      <c r="D16" s="8"/>
      <c r="E16" s="8"/>
      <c r="F16" s="8">
        <v>1</v>
      </c>
      <c r="G16" s="8"/>
      <c r="H16" s="8"/>
      <c r="I16" s="8"/>
      <c r="J16" s="8"/>
      <c r="K16" s="8"/>
      <c r="L16" s="8"/>
      <c r="M16" s="8"/>
      <c r="N16" s="8"/>
      <c r="O16" s="8">
        <f t="shared" si="2"/>
        <v>1</v>
      </c>
      <c r="P16" s="8">
        <f t="shared" si="0"/>
        <v>43</v>
      </c>
      <c r="Q16" s="8">
        <f t="shared" si="1"/>
        <v>86</v>
      </c>
      <c r="R16" s="8"/>
    </row>
    <row r="17" spans="1:31" x14ac:dyDescent="0.3">
      <c r="A17" s="14" t="s">
        <v>125</v>
      </c>
      <c r="B17" s="14" t="s">
        <v>127</v>
      </c>
      <c r="C17" s="14">
        <v>182</v>
      </c>
      <c r="D17" s="14"/>
      <c r="E17" s="14"/>
      <c r="F17" s="14"/>
      <c r="G17" s="14"/>
      <c r="H17" s="14"/>
      <c r="I17" s="14"/>
      <c r="J17" s="14"/>
      <c r="K17" s="14"/>
      <c r="L17" s="14"/>
      <c r="M17" s="14">
        <v>1</v>
      </c>
      <c r="N17" s="14"/>
      <c r="O17" s="14">
        <f t="shared" si="2"/>
        <v>1</v>
      </c>
      <c r="P17" s="14">
        <f t="shared" si="0"/>
        <v>182</v>
      </c>
      <c r="Q17" s="14">
        <f t="shared" si="1"/>
        <v>364</v>
      </c>
      <c r="R17" s="14">
        <v>1</v>
      </c>
    </row>
    <row r="18" spans="1:31" x14ac:dyDescent="0.3">
      <c r="A18" s="8" t="s">
        <v>28</v>
      </c>
      <c r="B18" s="8" t="s">
        <v>121</v>
      </c>
      <c r="C18" s="8">
        <v>185</v>
      </c>
      <c r="D18" s="8"/>
      <c r="E18" s="8"/>
      <c r="F18" s="8"/>
      <c r="G18" s="8"/>
      <c r="H18" s="8"/>
      <c r="I18" s="8"/>
      <c r="J18" s="8"/>
      <c r="K18" s="8"/>
      <c r="L18" s="8"/>
      <c r="M18" s="8">
        <v>1</v>
      </c>
      <c r="N18" s="8">
        <v>1</v>
      </c>
      <c r="O18" s="8">
        <f t="shared" si="2"/>
        <v>2</v>
      </c>
      <c r="P18" s="8">
        <f t="shared" si="0"/>
        <v>370</v>
      </c>
      <c r="Q18" s="8">
        <f t="shared" si="1"/>
        <v>740</v>
      </c>
      <c r="R18" s="8">
        <v>2</v>
      </c>
    </row>
    <row r="19" spans="1:31" x14ac:dyDescent="0.3">
      <c r="A19" s="8" t="s">
        <v>28</v>
      </c>
      <c r="B19" s="8" t="s">
        <v>29</v>
      </c>
      <c r="C19" s="8">
        <v>208</v>
      </c>
      <c r="D19" s="8"/>
      <c r="E19" s="8"/>
      <c r="F19" s="8"/>
      <c r="G19" s="8"/>
      <c r="H19" s="8"/>
      <c r="I19" s="8"/>
      <c r="J19" s="8">
        <v>1</v>
      </c>
      <c r="K19" s="8"/>
      <c r="L19" s="8">
        <v>1</v>
      </c>
      <c r="M19" s="8"/>
      <c r="N19" s="8"/>
      <c r="O19" s="8">
        <f t="shared" si="2"/>
        <v>2</v>
      </c>
      <c r="P19" s="8">
        <f t="shared" si="0"/>
        <v>416</v>
      </c>
      <c r="Q19" s="8">
        <f t="shared" si="1"/>
        <v>832</v>
      </c>
      <c r="R19" s="8"/>
    </row>
    <row r="20" spans="1:31" s="17" customFormat="1" x14ac:dyDescent="0.3">
      <c r="A20" s="14" t="s">
        <v>131</v>
      </c>
      <c r="B20" s="14" t="s">
        <v>132</v>
      </c>
      <c r="C20" s="14">
        <v>118</v>
      </c>
      <c r="D20" s="14"/>
      <c r="E20" s="14"/>
      <c r="F20" s="14"/>
      <c r="G20" s="14"/>
      <c r="H20" s="14"/>
      <c r="I20" s="14"/>
      <c r="J20" s="14"/>
      <c r="K20" s="14"/>
      <c r="L20" s="14"/>
      <c r="M20" s="14">
        <v>1</v>
      </c>
      <c r="N20" s="14"/>
      <c r="O20" s="14">
        <f t="shared" si="2"/>
        <v>1</v>
      </c>
      <c r="P20" s="14">
        <f t="shared" si="0"/>
        <v>118</v>
      </c>
      <c r="Q20" s="14">
        <f t="shared" si="1"/>
        <v>236</v>
      </c>
      <c r="R20" s="14">
        <v>1</v>
      </c>
    </row>
    <row r="21" spans="1:31" s="18" customFormat="1" x14ac:dyDescent="0.3">
      <c r="A21" s="8" t="s">
        <v>30</v>
      </c>
      <c r="B21" s="8" t="s">
        <v>31</v>
      </c>
      <c r="C21" s="8">
        <v>55</v>
      </c>
      <c r="D21" s="8"/>
      <c r="E21" s="8">
        <v>1</v>
      </c>
      <c r="F21" s="8">
        <v>1</v>
      </c>
      <c r="G21" s="8"/>
      <c r="H21" s="8"/>
      <c r="I21" s="8"/>
      <c r="J21" s="8"/>
      <c r="K21" s="8"/>
      <c r="L21" s="8"/>
      <c r="M21" s="8"/>
      <c r="N21" s="8"/>
      <c r="O21" s="8">
        <f t="shared" si="2"/>
        <v>2</v>
      </c>
      <c r="P21" s="8">
        <f t="shared" si="0"/>
        <v>110</v>
      </c>
      <c r="Q21" s="8">
        <f t="shared" si="1"/>
        <v>220</v>
      </c>
      <c r="R21" s="8">
        <v>5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s="18" customFormat="1" x14ac:dyDescent="0.3">
      <c r="A22" s="8" t="s">
        <v>30</v>
      </c>
      <c r="B22" s="8" t="s">
        <v>32</v>
      </c>
      <c r="C22" s="8">
        <v>54</v>
      </c>
      <c r="D22" s="8"/>
      <c r="E22" s="8"/>
      <c r="F22" s="8"/>
      <c r="G22" s="8">
        <v>1</v>
      </c>
      <c r="H22" s="8"/>
      <c r="I22" s="8"/>
      <c r="J22" s="8"/>
      <c r="K22" s="8"/>
      <c r="L22" s="8"/>
      <c r="M22" s="8"/>
      <c r="N22" s="8"/>
      <c r="O22" s="8">
        <f t="shared" si="2"/>
        <v>1</v>
      </c>
      <c r="P22" s="8">
        <f t="shared" si="0"/>
        <v>54</v>
      </c>
      <c r="Q22" s="8">
        <f t="shared" si="1"/>
        <v>108</v>
      </c>
      <c r="R22" s="8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s="18" customFormat="1" x14ac:dyDescent="0.3">
      <c r="A23" s="8" t="s">
        <v>30</v>
      </c>
      <c r="B23" s="8" t="s">
        <v>33</v>
      </c>
      <c r="C23" s="8">
        <v>55</v>
      </c>
      <c r="D23" s="8"/>
      <c r="E23" s="8">
        <v>1</v>
      </c>
      <c r="F23" s="8"/>
      <c r="G23" s="8"/>
      <c r="H23" s="8"/>
      <c r="I23" s="8"/>
      <c r="J23" s="8"/>
      <c r="K23" s="8"/>
      <c r="L23" s="8"/>
      <c r="M23" s="8"/>
      <c r="N23" s="8"/>
      <c r="O23" s="8">
        <f t="shared" si="2"/>
        <v>1</v>
      </c>
      <c r="P23" s="8">
        <f t="shared" si="0"/>
        <v>55</v>
      </c>
      <c r="Q23" s="8">
        <f t="shared" si="1"/>
        <v>110</v>
      </c>
      <c r="R23" s="8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s="18" customFormat="1" x14ac:dyDescent="0.3">
      <c r="A24" s="8" t="s">
        <v>30</v>
      </c>
      <c r="B24" s="8" t="s">
        <v>34</v>
      </c>
      <c r="C24" s="8">
        <v>46</v>
      </c>
      <c r="D24" s="8"/>
      <c r="E24" s="8"/>
      <c r="F24" s="8"/>
      <c r="G24" s="8"/>
      <c r="H24" s="8"/>
      <c r="I24" s="8"/>
      <c r="J24" s="8">
        <v>1</v>
      </c>
      <c r="K24" s="8"/>
      <c r="L24" s="8"/>
      <c r="M24" s="8"/>
      <c r="N24" s="8"/>
      <c r="O24" s="8">
        <f t="shared" si="2"/>
        <v>1</v>
      </c>
      <c r="P24" s="8">
        <f t="shared" si="0"/>
        <v>46</v>
      </c>
      <c r="Q24" s="8">
        <f t="shared" si="1"/>
        <v>92</v>
      </c>
      <c r="R24" s="8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s="18" customFormat="1" x14ac:dyDescent="0.3">
      <c r="A25" s="8" t="s">
        <v>30</v>
      </c>
      <c r="B25" s="8" t="s">
        <v>35</v>
      </c>
      <c r="C25" s="8">
        <v>47</v>
      </c>
      <c r="D25" s="8"/>
      <c r="E25" s="8"/>
      <c r="F25" s="8"/>
      <c r="G25" s="8"/>
      <c r="H25" s="8">
        <v>1</v>
      </c>
      <c r="I25" s="8">
        <v>2</v>
      </c>
      <c r="J25" s="8"/>
      <c r="K25" s="8">
        <v>1</v>
      </c>
      <c r="L25" s="8"/>
      <c r="M25" s="8"/>
      <c r="N25" s="8"/>
      <c r="O25" s="8">
        <f t="shared" si="2"/>
        <v>4</v>
      </c>
      <c r="P25" s="8">
        <f t="shared" si="0"/>
        <v>188</v>
      </c>
      <c r="Q25" s="8">
        <f t="shared" si="1"/>
        <v>376</v>
      </c>
      <c r="R25" s="8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s="17" customFormat="1" x14ac:dyDescent="0.3">
      <c r="A26" s="14" t="s">
        <v>98</v>
      </c>
      <c r="B26" s="14" t="s">
        <v>101</v>
      </c>
      <c r="C26" s="14">
        <v>400</v>
      </c>
      <c r="D26" s="14"/>
      <c r="E26" s="14"/>
      <c r="F26" s="14"/>
      <c r="G26" s="14"/>
      <c r="H26" s="14"/>
      <c r="I26" s="14"/>
      <c r="J26" s="14"/>
      <c r="K26" s="14"/>
      <c r="L26" s="14">
        <v>1</v>
      </c>
      <c r="M26" s="14"/>
      <c r="N26" s="14"/>
      <c r="O26" s="14">
        <f t="shared" si="2"/>
        <v>1</v>
      </c>
      <c r="P26" s="14">
        <f t="shared" si="0"/>
        <v>400</v>
      </c>
      <c r="Q26" s="14">
        <f t="shared" si="1"/>
        <v>800</v>
      </c>
      <c r="R26" s="14">
        <v>1</v>
      </c>
    </row>
    <row r="27" spans="1:31" s="18" customFormat="1" x14ac:dyDescent="0.3">
      <c r="A27" s="8" t="s">
        <v>36</v>
      </c>
      <c r="B27" s="8" t="s">
        <v>37</v>
      </c>
      <c r="C27" s="8">
        <v>363</v>
      </c>
      <c r="D27" s="8"/>
      <c r="E27" s="8"/>
      <c r="F27" s="8"/>
      <c r="G27" s="8"/>
      <c r="H27" s="8"/>
      <c r="I27" s="8"/>
      <c r="J27" s="8"/>
      <c r="K27" s="8">
        <v>1</v>
      </c>
      <c r="L27" s="8"/>
      <c r="M27" s="8"/>
      <c r="N27" s="8"/>
      <c r="O27" s="8">
        <f t="shared" si="2"/>
        <v>1</v>
      </c>
      <c r="P27" s="8">
        <f t="shared" si="0"/>
        <v>363</v>
      </c>
      <c r="Q27" s="8">
        <f t="shared" si="1"/>
        <v>726</v>
      </c>
      <c r="R27" s="8">
        <v>1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s="17" customFormat="1" x14ac:dyDescent="0.3">
      <c r="A28" s="14" t="s">
        <v>94</v>
      </c>
      <c r="B28" s="14" t="s">
        <v>95</v>
      </c>
      <c r="C28" s="14">
        <v>93</v>
      </c>
      <c r="D28" s="14"/>
      <c r="E28" s="14"/>
      <c r="F28" s="14"/>
      <c r="G28" s="14"/>
      <c r="H28" s="14"/>
      <c r="I28" s="14"/>
      <c r="J28" s="14"/>
      <c r="K28" s="14"/>
      <c r="L28" s="14"/>
      <c r="M28" s="14">
        <v>1</v>
      </c>
      <c r="N28" s="14"/>
      <c r="O28" s="14">
        <f t="shared" si="2"/>
        <v>1</v>
      </c>
      <c r="P28" s="14">
        <f t="shared" si="0"/>
        <v>93</v>
      </c>
      <c r="Q28" s="14">
        <f t="shared" si="1"/>
        <v>186</v>
      </c>
      <c r="R28" s="14">
        <v>1</v>
      </c>
    </row>
    <row r="29" spans="1:31" s="18" customFormat="1" x14ac:dyDescent="0.3">
      <c r="A29" s="8" t="s">
        <v>122</v>
      </c>
      <c r="B29" s="8" t="s">
        <v>123</v>
      </c>
      <c r="C29" s="8">
        <v>174</v>
      </c>
      <c r="D29" s="8"/>
      <c r="E29" s="8"/>
      <c r="F29" s="8"/>
      <c r="G29" s="8"/>
      <c r="H29" s="8"/>
      <c r="I29" s="8"/>
      <c r="J29" s="8"/>
      <c r="K29" s="8"/>
      <c r="L29" s="8"/>
      <c r="M29" s="8">
        <v>1</v>
      </c>
      <c r="N29" s="8"/>
      <c r="O29" s="8">
        <f t="shared" si="2"/>
        <v>1</v>
      </c>
      <c r="P29" s="8">
        <f t="shared" si="0"/>
        <v>174</v>
      </c>
      <c r="Q29" s="8">
        <f t="shared" si="1"/>
        <v>348</v>
      </c>
      <c r="R29" s="8">
        <v>1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s="17" customFormat="1" x14ac:dyDescent="0.3">
      <c r="A30" s="14" t="s">
        <v>99</v>
      </c>
      <c r="B30" s="14" t="s">
        <v>100</v>
      </c>
      <c r="C30" s="14">
        <v>209</v>
      </c>
      <c r="D30" s="14"/>
      <c r="E30" s="14"/>
      <c r="F30" s="14"/>
      <c r="G30" s="14"/>
      <c r="H30" s="14"/>
      <c r="I30" s="14"/>
      <c r="J30" s="14"/>
      <c r="K30" s="14"/>
      <c r="L30" s="14">
        <v>1</v>
      </c>
      <c r="M30" s="14"/>
      <c r="N30" s="14"/>
      <c r="O30" s="14">
        <f t="shared" si="2"/>
        <v>1</v>
      </c>
      <c r="P30" s="14">
        <f t="shared" si="0"/>
        <v>209</v>
      </c>
      <c r="Q30" s="14">
        <f t="shared" si="1"/>
        <v>418</v>
      </c>
      <c r="R30" s="14">
        <v>1</v>
      </c>
    </row>
    <row r="31" spans="1:31" s="18" customFormat="1" x14ac:dyDescent="0.3">
      <c r="A31" s="8" t="s">
        <v>38</v>
      </c>
      <c r="B31" s="8" t="s">
        <v>39</v>
      </c>
      <c r="C31" s="8">
        <v>258</v>
      </c>
      <c r="D31" s="8"/>
      <c r="E31" s="8"/>
      <c r="F31" s="8"/>
      <c r="G31" s="8"/>
      <c r="H31" s="8"/>
      <c r="I31" s="8">
        <v>1</v>
      </c>
      <c r="J31" s="8"/>
      <c r="K31" s="8"/>
      <c r="L31" s="8"/>
      <c r="M31" s="8"/>
      <c r="N31" s="8"/>
      <c r="O31" s="8">
        <f t="shared" si="2"/>
        <v>1</v>
      </c>
      <c r="P31" s="8">
        <f t="shared" si="0"/>
        <v>258</v>
      </c>
      <c r="Q31" s="8">
        <f t="shared" si="1"/>
        <v>516</v>
      </c>
      <c r="R31" s="8">
        <v>1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s="17" customFormat="1" x14ac:dyDescent="0.3">
      <c r="A32" s="14" t="s">
        <v>44</v>
      </c>
      <c r="B32" s="14" t="s">
        <v>45</v>
      </c>
      <c r="C32" s="14">
        <v>25</v>
      </c>
      <c r="D32" s="14"/>
      <c r="E32" s="14"/>
      <c r="F32" s="14"/>
      <c r="G32" s="14"/>
      <c r="H32" s="14"/>
      <c r="I32" s="14"/>
      <c r="J32" s="14">
        <v>1</v>
      </c>
      <c r="K32" s="14">
        <v>1</v>
      </c>
      <c r="L32" s="14"/>
      <c r="M32" s="14"/>
      <c r="N32" s="14"/>
      <c r="O32" s="14">
        <f t="shared" si="2"/>
        <v>2</v>
      </c>
      <c r="P32" s="14">
        <f t="shared" si="0"/>
        <v>50</v>
      </c>
      <c r="Q32" s="14">
        <f t="shared" ref="Q32:Q37" si="3">2*P32</f>
        <v>100</v>
      </c>
      <c r="R32" s="14">
        <v>6</v>
      </c>
    </row>
    <row r="33" spans="1:31" s="17" customFormat="1" x14ac:dyDescent="0.3">
      <c r="A33" s="14" t="s">
        <v>44</v>
      </c>
      <c r="B33" s="14" t="s">
        <v>128</v>
      </c>
      <c r="C33" s="14">
        <v>19</v>
      </c>
      <c r="D33" s="14"/>
      <c r="E33" s="14"/>
      <c r="F33" s="14"/>
      <c r="G33" s="14"/>
      <c r="H33" s="14"/>
      <c r="I33" s="14"/>
      <c r="J33" s="14"/>
      <c r="K33" s="14"/>
      <c r="L33" s="14"/>
      <c r="M33" s="14">
        <v>1</v>
      </c>
      <c r="N33" s="14"/>
      <c r="O33" s="14">
        <f t="shared" si="2"/>
        <v>1</v>
      </c>
      <c r="P33" s="14">
        <f t="shared" si="0"/>
        <v>19</v>
      </c>
      <c r="Q33" s="14">
        <f t="shared" si="3"/>
        <v>38</v>
      </c>
      <c r="R33" s="14"/>
    </row>
    <row r="34" spans="1:31" s="17" customFormat="1" x14ac:dyDescent="0.3">
      <c r="A34" s="14" t="s">
        <v>44</v>
      </c>
      <c r="B34" s="14" t="s">
        <v>46</v>
      </c>
      <c r="C34" s="14">
        <v>27</v>
      </c>
      <c r="D34" s="14"/>
      <c r="E34" s="14"/>
      <c r="F34" s="14"/>
      <c r="G34" s="14">
        <v>1</v>
      </c>
      <c r="H34" s="14"/>
      <c r="I34" s="14">
        <v>1</v>
      </c>
      <c r="J34" s="14">
        <v>2</v>
      </c>
      <c r="K34" s="14"/>
      <c r="L34" s="14"/>
      <c r="M34" s="14"/>
      <c r="N34" s="14"/>
      <c r="O34" s="14">
        <f t="shared" si="2"/>
        <v>4</v>
      </c>
      <c r="P34" s="14">
        <f t="shared" si="0"/>
        <v>108</v>
      </c>
      <c r="Q34" s="14">
        <f t="shared" si="3"/>
        <v>216</v>
      </c>
      <c r="R34" s="14"/>
    </row>
    <row r="35" spans="1:31" s="17" customFormat="1" x14ac:dyDescent="0.3">
      <c r="A35" s="14" t="s">
        <v>44</v>
      </c>
      <c r="B35" s="14" t="s">
        <v>47</v>
      </c>
      <c r="C35" s="14">
        <v>27</v>
      </c>
      <c r="D35" s="14"/>
      <c r="E35" s="14"/>
      <c r="F35" s="14"/>
      <c r="G35" s="14"/>
      <c r="H35" s="14"/>
      <c r="I35" s="14"/>
      <c r="J35" s="14"/>
      <c r="K35" s="14">
        <v>1</v>
      </c>
      <c r="L35" s="14"/>
      <c r="M35" s="14">
        <v>8</v>
      </c>
      <c r="N35" s="14">
        <v>1</v>
      </c>
      <c r="O35" s="14">
        <f t="shared" si="2"/>
        <v>10</v>
      </c>
      <c r="P35" s="14">
        <f t="shared" ref="P35:P67" si="4">C35*O35</f>
        <v>270</v>
      </c>
      <c r="Q35" s="14">
        <f t="shared" si="3"/>
        <v>540</v>
      </c>
      <c r="R35" s="14"/>
    </row>
    <row r="36" spans="1:31" s="17" customFormat="1" x14ac:dyDescent="0.3">
      <c r="A36" s="14" t="s">
        <v>44</v>
      </c>
      <c r="B36" s="14" t="s">
        <v>48</v>
      </c>
      <c r="C36" s="14">
        <v>27</v>
      </c>
      <c r="D36" s="14"/>
      <c r="E36" s="14"/>
      <c r="F36" s="14">
        <v>1</v>
      </c>
      <c r="G36" s="14">
        <v>2</v>
      </c>
      <c r="H36" s="14">
        <v>1</v>
      </c>
      <c r="I36" s="14">
        <v>1</v>
      </c>
      <c r="J36" s="14"/>
      <c r="K36" s="14">
        <v>1</v>
      </c>
      <c r="L36" s="14">
        <v>1</v>
      </c>
      <c r="M36" s="14"/>
      <c r="N36" s="14"/>
      <c r="O36" s="14">
        <f t="shared" si="2"/>
        <v>7</v>
      </c>
      <c r="P36" s="14">
        <f t="shared" si="4"/>
        <v>189</v>
      </c>
      <c r="Q36" s="14">
        <f t="shared" si="3"/>
        <v>378</v>
      </c>
      <c r="R36" s="14"/>
    </row>
    <row r="37" spans="1:31" s="17" customFormat="1" x14ac:dyDescent="0.3">
      <c r="A37" s="14" t="s">
        <v>44</v>
      </c>
      <c r="B37" s="14" t="s">
        <v>49</v>
      </c>
      <c r="C37" s="14">
        <v>31</v>
      </c>
      <c r="D37" s="14"/>
      <c r="E37" s="14"/>
      <c r="F37" s="14"/>
      <c r="G37" s="14"/>
      <c r="H37" s="14"/>
      <c r="I37" s="14">
        <v>1</v>
      </c>
      <c r="J37" s="14"/>
      <c r="K37" s="14">
        <v>3</v>
      </c>
      <c r="L37" s="14">
        <v>2</v>
      </c>
      <c r="M37" s="14">
        <v>2</v>
      </c>
      <c r="N37" s="14"/>
      <c r="O37" s="14">
        <f t="shared" si="2"/>
        <v>8</v>
      </c>
      <c r="P37" s="14">
        <f t="shared" si="4"/>
        <v>248</v>
      </c>
      <c r="Q37" s="14">
        <f t="shared" si="3"/>
        <v>496</v>
      </c>
      <c r="R37" s="14"/>
    </row>
    <row r="38" spans="1:31" s="18" customFormat="1" x14ac:dyDescent="0.3">
      <c r="A38" s="8" t="s">
        <v>40</v>
      </c>
      <c r="B38" s="8" t="s">
        <v>41</v>
      </c>
      <c r="C38" s="8">
        <v>79</v>
      </c>
      <c r="D38" s="8"/>
      <c r="E38" s="8"/>
      <c r="F38" s="8"/>
      <c r="G38" s="8"/>
      <c r="H38" s="8"/>
      <c r="I38" s="8">
        <v>1</v>
      </c>
      <c r="J38" s="8"/>
      <c r="K38" s="8">
        <v>1</v>
      </c>
      <c r="L38" s="8">
        <v>1</v>
      </c>
      <c r="M38" s="8"/>
      <c r="N38" s="8"/>
      <c r="O38" s="8">
        <f t="shared" si="2"/>
        <v>3</v>
      </c>
      <c r="P38" s="8">
        <f t="shared" si="4"/>
        <v>237</v>
      </c>
      <c r="Q38" s="8">
        <f t="shared" si="1"/>
        <v>474</v>
      </c>
      <c r="R38" s="8">
        <v>3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s="18" customFormat="1" x14ac:dyDescent="0.3">
      <c r="A39" s="8" t="s">
        <v>40</v>
      </c>
      <c r="B39" s="8" t="s">
        <v>42</v>
      </c>
      <c r="C39" s="8">
        <v>70</v>
      </c>
      <c r="D39" s="8"/>
      <c r="E39" s="8"/>
      <c r="F39" s="8"/>
      <c r="G39" s="8"/>
      <c r="H39" s="8"/>
      <c r="I39" s="8">
        <v>2</v>
      </c>
      <c r="J39" s="8"/>
      <c r="K39" s="8"/>
      <c r="L39" s="8"/>
      <c r="M39" s="8"/>
      <c r="N39" s="8"/>
      <c r="O39" s="8">
        <f t="shared" si="2"/>
        <v>2</v>
      </c>
      <c r="P39" s="8">
        <f t="shared" si="4"/>
        <v>140</v>
      </c>
      <c r="Q39" s="8">
        <f t="shared" si="1"/>
        <v>280</v>
      </c>
      <c r="R39" s="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s="18" customFormat="1" x14ac:dyDescent="0.3">
      <c r="A40" s="8" t="s">
        <v>40</v>
      </c>
      <c r="B40" s="8" t="s">
        <v>43</v>
      </c>
      <c r="C40" s="8">
        <v>66</v>
      </c>
      <c r="D40" s="8"/>
      <c r="E40" s="8"/>
      <c r="F40" s="8"/>
      <c r="G40" s="8"/>
      <c r="H40" s="8"/>
      <c r="I40" s="8"/>
      <c r="J40" s="8">
        <v>1</v>
      </c>
      <c r="K40" s="8">
        <v>1</v>
      </c>
      <c r="L40" s="8">
        <v>1</v>
      </c>
      <c r="M40" s="8"/>
      <c r="N40" s="8"/>
      <c r="O40" s="8">
        <f t="shared" si="2"/>
        <v>3</v>
      </c>
      <c r="P40" s="8">
        <f t="shared" si="4"/>
        <v>198</v>
      </c>
      <c r="Q40" s="8">
        <f t="shared" si="1"/>
        <v>396</v>
      </c>
      <c r="R40" s="8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s="17" customFormat="1" x14ac:dyDescent="0.3">
      <c r="A41" s="14" t="s">
        <v>50</v>
      </c>
      <c r="B41" s="14" t="s">
        <v>51</v>
      </c>
      <c r="C41" s="14">
        <v>420</v>
      </c>
      <c r="D41" s="14"/>
      <c r="E41" s="14"/>
      <c r="F41" s="14"/>
      <c r="G41" s="14"/>
      <c r="H41" s="14"/>
      <c r="I41" s="14"/>
      <c r="J41" s="14"/>
      <c r="K41" s="14">
        <v>1</v>
      </c>
      <c r="L41" s="14"/>
      <c r="M41" s="14"/>
      <c r="N41" s="14"/>
      <c r="O41" s="14">
        <f t="shared" si="2"/>
        <v>1</v>
      </c>
      <c r="P41" s="14">
        <f t="shared" si="4"/>
        <v>420</v>
      </c>
      <c r="Q41" s="14">
        <f t="shared" si="1"/>
        <v>840</v>
      </c>
      <c r="R41" s="14">
        <v>1</v>
      </c>
    </row>
    <row r="42" spans="1:31" s="18" customFormat="1" x14ac:dyDescent="0.3">
      <c r="A42" s="8" t="s">
        <v>52</v>
      </c>
      <c r="B42" s="8" t="s">
        <v>53</v>
      </c>
      <c r="C42" s="8">
        <v>141</v>
      </c>
      <c r="D42" s="8"/>
      <c r="E42" s="8"/>
      <c r="F42" s="8"/>
      <c r="G42" s="8"/>
      <c r="H42" s="8"/>
      <c r="I42" s="8"/>
      <c r="J42" s="8"/>
      <c r="K42" s="8">
        <v>1</v>
      </c>
      <c r="L42" s="8"/>
      <c r="M42" s="8"/>
      <c r="N42" s="8"/>
      <c r="O42" s="8">
        <f t="shared" si="2"/>
        <v>1</v>
      </c>
      <c r="P42" s="8">
        <f t="shared" si="4"/>
        <v>141</v>
      </c>
      <c r="Q42" s="8">
        <f t="shared" si="1"/>
        <v>282</v>
      </c>
      <c r="R42" s="8">
        <v>1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s="17" customFormat="1" x14ac:dyDescent="0.3">
      <c r="A43" s="14" t="s">
        <v>54</v>
      </c>
      <c r="B43" s="14" t="s">
        <v>55</v>
      </c>
      <c r="C43" s="14">
        <v>80</v>
      </c>
      <c r="D43" s="14"/>
      <c r="E43" s="14">
        <v>1</v>
      </c>
      <c r="F43" s="14">
        <v>1</v>
      </c>
      <c r="G43" s="14">
        <v>2</v>
      </c>
      <c r="H43" s="14"/>
      <c r="I43" s="14">
        <v>3</v>
      </c>
      <c r="J43" s="14">
        <v>1</v>
      </c>
      <c r="K43" s="14">
        <v>1</v>
      </c>
      <c r="L43" s="14"/>
      <c r="M43" s="14"/>
      <c r="N43" s="14"/>
      <c r="O43" s="14">
        <f t="shared" si="2"/>
        <v>9</v>
      </c>
      <c r="P43" s="14">
        <f t="shared" si="4"/>
        <v>720</v>
      </c>
      <c r="Q43" s="14">
        <f t="shared" si="1"/>
        <v>1440</v>
      </c>
      <c r="R43" s="14">
        <v>1</v>
      </c>
    </row>
    <row r="44" spans="1:31" s="18" customFormat="1" x14ac:dyDescent="0.3">
      <c r="A44" s="8" t="s">
        <v>120</v>
      </c>
      <c r="B44" s="8" t="s">
        <v>119</v>
      </c>
      <c r="C44" s="8">
        <v>522</v>
      </c>
      <c r="D44" s="8"/>
      <c r="E44" s="8"/>
      <c r="F44" s="8"/>
      <c r="G44" s="8"/>
      <c r="H44" s="8"/>
      <c r="I44" s="8"/>
      <c r="J44" s="8"/>
      <c r="K44" s="8"/>
      <c r="L44" s="8"/>
      <c r="M44" s="8">
        <v>2</v>
      </c>
      <c r="N44" s="8"/>
      <c r="O44" s="8">
        <f t="shared" si="2"/>
        <v>2</v>
      </c>
      <c r="P44" s="8">
        <f t="shared" si="4"/>
        <v>1044</v>
      </c>
      <c r="Q44" s="8">
        <f t="shared" si="1"/>
        <v>2088</v>
      </c>
      <c r="R44" s="8">
        <v>1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s="17" customFormat="1" x14ac:dyDescent="0.3">
      <c r="A45" s="14" t="s">
        <v>56</v>
      </c>
      <c r="B45" s="14" t="s">
        <v>57</v>
      </c>
      <c r="C45" s="14">
        <v>34</v>
      </c>
      <c r="D45" s="14"/>
      <c r="E45" s="14"/>
      <c r="F45" s="14"/>
      <c r="G45" s="14">
        <v>1</v>
      </c>
      <c r="H45" s="14"/>
      <c r="I45" s="14">
        <v>2</v>
      </c>
      <c r="J45" s="14"/>
      <c r="K45" s="14">
        <v>2</v>
      </c>
      <c r="L45" s="14">
        <v>1</v>
      </c>
      <c r="M45" s="14"/>
      <c r="N45" s="14">
        <v>1</v>
      </c>
      <c r="O45" s="14">
        <f t="shared" si="2"/>
        <v>7</v>
      </c>
      <c r="P45" s="14">
        <f t="shared" si="4"/>
        <v>238</v>
      </c>
      <c r="Q45" s="14">
        <f t="shared" si="1"/>
        <v>476</v>
      </c>
      <c r="R45" s="14">
        <v>3</v>
      </c>
    </row>
    <row r="46" spans="1:31" s="17" customFormat="1" x14ac:dyDescent="0.3">
      <c r="A46" s="14" t="s">
        <v>56</v>
      </c>
      <c r="B46" s="14" t="s">
        <v>58</v>
      </c>
      <c r="C46" s="14">
        <v>45</v>
      </c>
      <c r="D46" s="14"/>
      <c r="E46" s="14"/>
      <c r="F46" s="14">
        <v>1</v>
      </c>
      <c r="G46" s="14"/>
      <c r="H46" s="14"/>
      <c r="I46" s="14"/>
      <c r="J46" s="14"/>
      <c r="K46" s="14"/>
      <c r="L46" s="14"/>
      <c r="M46" s="14"/>
      <c r="N46" s="14"/>
      <c r="O46" s="14">
        <f t="shared" si="2"/>
        <v>1</v>
      </c>
      <c r="P46" s="14">
        <f t="shared" si="4"/>
        <v>45</v>
      </c>
      <c r="Q46" s="14">
        <f t="shared" si="1"/>
        <v>90</v>
      </c>
      <c r="R46" s="14"/>
    </row>
    <row r="47" spans="1:31" s="17" customFormat="1" x14ac:dyDescent="0.3">
      <c r="A47" s="14" t="s">
        <v>56</v>
      </c>
      <c r="B47" s="14" t="s">
        <v>144</v>
      </c>
      <c r="C47" s="14">
        <v>46</v>
      </c>
      <c r="D47" s="14"/>
      <c r="E47" s="14"/>
      <c r="F47" s="14"/>
      <c r="G47" s="14"/>
      <c r="H47" s="14"/>
      <c r="I47" s="14"/>
      <c r="J47" s="14"/>
      <c r="K47" s="14"/>
      <c r="L47" s="14">
        <v>1</v>
      </c>
      <c r="M47" s="14"/>
      <c r="N47" s="14">
        <v>1</v>
      </c>
      <c r="O47" s="14">
        <f t="shared" si="2"/>
        <v>2</v>
      </c>
      <c r="P47" s="14">
        <f t="shared" si="4"/>
        <v>92</v>
      </c>
      <c r="Q47" s="14">
        <f t="shared" si="1"/>
        <v>184</v>
      </c>
      <c r="R47" s="14"/>
    </row>
    <row r="48" spans="1:31" s="18" customFormat="1" x14ac:dyDescent="0.3">
      <c r="A48" s="8" t="s">
        <v>59</v>
      </c>
      <c r="B48" s="8" t="s">
        <v>60</v>
      </c>
      <c r="C48" s="8">
        <v>132</v>
      </c>
      <c r="D48" s="8"/>
      <c r="E48" s="8"/>
      <c r="F48" s="8"/>
      <c r="G48" s="8"/>
      <c r="H48" s="8">
        <v>1</v>
      </c>
      <c r="I48" s="8"/>
      <c r="J48" s="8"/>
      <c r="K48" s="8"/>
      <c r="L48" s="8"/>
      <c r="M48" s="8"/>
      <c r="N48" s="8"/>
      <c r="O48" s="8">
        <f t="shared" si="2"/>
        <v>1</v>
      </c>
      <c r="P48" s="8">
        <f t="shared" si="4"/>
        <v>132</v>
      </c>
      <c r="Q48" s="8">
        <f t="shared" si="1"/>
        <v>264</v>
      </c>
      <c r="R48" s="8">
        <v>3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s="18" customFormat="1" x14ac:dyDescent="0.3">
      <c r="A49" s="8" t="s">
        <v>59</v>
      </c>
      <c r="B49" s="8" t="s">
        <v>61</v>
      </c>
      <c r="C49" s="8">
        <v>131</v>
      </c>
      <c r="D49" s="8"/>
      <c r="E49" s="8"/>
      <c r="F49" s="8">
        <v>1</v>
      </c>
      <c r="G49" s="8"/>
      <c r="H49" s="8"/>
      <c r="I49" s="8"/>
      <c r="J49" s="8"/>
      <c r="K49" s="8"/>
      <c r="L49" s="8"/>
      <c r="M49" s="8"/>
      <c r="N49" s="8"/>
      <c r="O49" s="8">
        <f t="shared" si="2"/>
        <v>1</v>
      </c>
      <c r="P49" s="8">
        <f t="shared" si="4"/>
        <v>131</v>
      </c>
      <c r="Q49" s="8">
        <f t="shared" si="1"/>
        <v>262</v>
      </c>
      <c r="R49" s="8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s="18" customFormat="1" x14ac:dyDescent="0.3">
      <c r="A50" s="8" t="s">
        <v>59</v>
      </c>
      <c r="B50" s="8" t="s">
        <v>62</v>
      </c>
      <c r="C50" s="8">
        <v>131</v>
      </c>
      <c r="D50" s="8">
        <v>1</v>
      </c>
      <c r="E50" s="8"/>
      <c r="F50" s="8"/>
      <c r="G50" s="8"/>
      <c r="H50" s="8"/>
      <c r="I50" s="8"/>
      <c r="J50" s="8"/>
      <c r="K50" s="8">
        <v>1</v>
      </c>
      <c r="L50" s="8"/>
      <c r="M50" s="8"/>
      <c r="N50" s="8"/>
      <c r="O50" s="8">
        <f t="shared" si="2"/>
        <v>2</v>
      </c>
      <c r="P50" s="8">
        <f t="shared" si="4"/>
        <v>262</v>
      </c>
      <c r="Q50" s="8">
        <f t="shared" si="1"/>
        <v>524</v>
      </c>
      <c r="R50" s="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s="17" customFormat="1" x14ac:dyDescent="0.3">
      <c r="A51" s="14" t="s">
        <v>63</v>
      </c>
      <c r="B51" s="14" t="s">
        <v>64</v>
      </c>
      <c r="C51" s="14">
        <v>136</v>
      </c>
      <c r="D51" s="14"/>
      <c r="E51" s="14"/>
      <c r="F51" s="14"/>
      <c r="G51" s="14"/>
      <c r="H51" s="14"/>
      <c r="I51" s="14"/>
      <c r="J51" s="14">
        <v>2</v>
      </c>
      <c r="K51" s="14">
        <v>1</v>
      </c>
      <c r="L51" s="14"/>
      <c r="M51" s="14"/>
      <c r="N51" s="14"/>
      <c r="O51" s="14">
        <f t="shared" si="2"/>
        <v>3</v>
      </c>
      <c r="P51" s="14">
        <f t="shared" si="4"/>
        <v>408</v>
      </c>
      <c r="Q51" s="14">
        <f t="shared" si="1"/>
        <v>816</v>
      </c>
      <c r="R51" s="14">
        <v>1</v>
      </c>
    </row>
    <row r="52" spans="1:31" s="18" customFormat="1" x14ac:dyDescent="0.3">
      <c r="A52" s="8" t="s">
        <v>65</v>
      </c>
      <c r="B52" s="8" t="s">
        <v>66</v>
      </c>
      <c r="C52" s="8">
        <v>133</v>
      </c>
      <c r="D52" s="8"/>
      <c r="E52" s="8"/>
      <c r="F52" s="8"/>
      <c r="G52" s="8"/>
      <c r="H52" s="8">
        <v>1</v>
      </c>
      <c r="I52" s="8"/>
      <c r="J52" s="8"/>
      <c r="K52" s="8">
        <v>1</v>
      </c>
      <c r="L52" s="8"/>
      <c r="M52" s="8"/>
      <c r="N52" s="8"/>
      <c r="O52" s="8">
        <f t="shared" si="2"/>
        <v>2</v>
      </c>
      <c r="P52" s="8">
        <f t="shared" si="4"/>
        <v>266</v>
      </c>
      <c r="Q52" s="8">
        <f t="shared" si="1"/>
        <v>532</v>
      </c>
      <c r="R52" s="8">
        <v>4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s="18" customFormat="1" x14ac:dyDescent="0.3">
      <c r="A53" s="8" t="s">
        <v>65</v>
      </c>
      <c r="B53" s="8" t="s">
        <v>67</v>
      </c>
      <c r="C53" s="8">
        <v>152</v>
      </c>
      <c r="D53" s="8"/>
      <c r="E53" s="8"/>
      <c r="F53" s="8"/>
      <c r="G53" s="8"/>
      <c r="H53" s="8"/>
      <c r="I53" s="8"/>
      <c r="J53" s="8"/>
      <c r="K53" s="8">
        <v>1</v>
      </c>
      <c r="L53" s="8"/>
      <c r="M53" s="8"/>
      <c r="N53" s="8"/>
      <c r="O53" s="8">
        <f t="shared" si="2"/>
        <v>1</v>
      </c>
      <c r="P53" s="8">
        <f t="shared" si="4"/>
        <v>152</v>
      </c>
      <c r="Q53" s="8">
        <f t="shared" si="1"/>
        <v>304</v>
      </c>
      <c r="R53" s="8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s="18" customFormat="1" x14ac:dyDescent="0.3">
      <c r="A54" s="8" t="s">
        <v>65</v>
      </c>
      <c r="B54" s="8" t="s">
        <v>68</v>
      </c>
      <c r="C54" s="8">
        <v>127</v>
      </c>
      <c r="D54" s="8"/>
      <c r="E54" s="8"/>
      <c r="F54" s="8"/>
      <c r="G54" s="8"/>
      <c r="H54" s="8"/>
      <c r="I54" s="8">
        <v>1</v>
      </c>
      <c r="J54" s="8"/>
      <c r="K54" s="8"/>
      <c r="L54" s="8"/>
      <c r="M54" s="8"/>
      <c r="N54" s="8"/>
      <c r="O54" s="8">
        <f t="shared" si="2"/>
        <v>1</v>
      </c>
      <c r="P54" s="8">
        <f t="shared" si="4"/>
        <v>127</v>
      </c>
      <c r="Q54" s="8">
        <f t="shared" si="1"/>
        <v>254</v>
      </c>
      <c r="R54" s="8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s="18" customFormat="1" ht="13.8" customHeight="1" x14ac:dyDescent="0.3">
      <c r="A55" s="8" t="s">
        <v>65</v>
      </c>
      <c r="B55" s="8" t="s">
        <v>69</v>
      </c>
      <c r="C55" s="8">
        <v>153</v>
      </c>
      <c r="D55" s="8"/>
      <c r="E55" s="8"/>
      <c r="F55" s="8"/>
      <c r="G55" s="8"/>
      <c r="H55" s="8"/>
      <c r="I55" s="8">
        <v>1</v>
      </c>
      <c r="J55" s="8"/>
      <c r="K55" s="8"/>
      <c r="L55" s="8"/>
      <c r="M55" s="8"/>
      <c r="N55" s="8"/>
      <c r="O55" s="8">
        <f t="shared" si="2"/>
        <v>1</v>
      </c>
      <c r="P55" s="8">
        <f t="shared" si="4"/>
        <v>153</v>
      </c>
      <c r="Q55" s="8">
        <f t="shared" si="1"/>
        <v>306</v>
      </c>
      <c r="R55" s="8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s="17" customFormat="1" x14ac:dyDescent="0.3">
      <c r="A56" s="14" t="s">
        <v>70</v>
      </c>
      <c r="B56" s="14" t="s">
        <v>71</v>
      </c>
      <c r="C56" s="14">
        <v>62</v>
      </c>
      <c r="D56" s="14"/>
      <c r="E56" s="14">
        <v>1</v>
      </c>
      <c r="F56" s="14"/>
      <c r="G56" s="14"/>
      <c r="H56" s="14">
        <v>1</v>
      </c>
      <c r="I56" s="14"/>
      <c r="J56" s="14">
        <v>2</v>
      </c>
      <c r="K56" s="14"/>
      <c r="L56" s="14"/>
      <c r="M56" s="14">
        <v>1</v>
      </c>
      <c r="N56" s="14"/>
      <c r="O56" s="14">
        <f t="shared" si="2"/>
        <v>5</v>
      </c>
      <c r="P56" s="14">
        <f t="shared" si="4"/>
        <v>310</v>
      </c>
      <c r="Q56" s="14">
        <f t="shared" si="1"/>
        <v>620</v>
      </c>
      <c r="R56" s="14">
        <v>3</v>
      </c>
    </row>
    <row r="57" spans="1:31" s="17" customFormat="1" x14ac:dyDescent="0.3">
      <c r="A57" s="14" t="s">
        <v>70</v>
      </c>
      <c r="B57" s="14" t="s">
        <v>72</v>
      </c>
      <c r="C57" s="14">
        <v>65</v>
      </c>
      <c r="D57" s="14"/>
      <c r="E57" s="14"/>
      <c r="F57" s="14"/>
      <c r="G57" s="14">
        <v>2</v>
      </c>
      <c r="H57" s="14"/>
      <c r="I57" s="14"/>
      <c r="J57" s="14"/>
      <c r="K57" s="14"/>
      <c r="L57" s="14"/>
      <c r="M57" s="14"/>
      <c r="N57" s="14">
        <v>1</v>
      </c>
      <c r="O57" s="14">
        <f t="shared" si="2"/>
        <v>3</v>
      </c>
      <c r="P57" s="14">
        <f t="shared" si="4"/>
        <v>195</v>
      </c>
      <c r="Q57" s="14">
        <f t="shared" si="1"/>
        <v>390</v>
      </c>
      <c r="R57" s="14"/>
    </row>
    <row r="58" spans="1:31" s="17" customFormat="1" x14ac:dyDescent="0.3">
      <c r="A58" s="14" t="s">
        <v>70</v>
      </c>
      <c r="B58" s="14" t="s">
        <v>73</v>
      </c>
      <c r="C58" s="14">
        <v>62</v>
      </c>
      <c r="D58" s="14"/>
      <c r="E58" s="14"/>
      <c r="F58" s="14"/>
      <c r="G58" s="14"/>
      <c r="H58" s="14"/>
      <c r="I58" s="14"/>
      <c r="J58" s="14"/>
      <c r="K58" s="14">
        <v>1</v>
      </c>
      <c r="L58" s="14"/>
      <c r="M58" s="14"/>
      <c r="N58" s="14"/>
      <c r="O58" s="14">
        <f t="shared" si="2"/>
        <v>1</v>
      </c>
      <c r="P58" s="14">
        <f t="shared" si="4"/>
        <v>62</v>
      </c>
      <c r="Q58" s="14">
        <f t="shared" si="1"/>
        <v>124</v>
      </c>
      <c r="R58" s="14"/>
    </row>
    <row r="59" spans="1:31" s="18" customFormat="1" x14ac:dyDescent="0.3">
      <c r="A59" s="8" t="s">
        <v>74</v>
      </c>
      <c r="B59" s="8" t="s">
        <v>124</v>
      </c>
      <c r="C59" s="8">
        <v>45</v>
      </c>
      <c r="D59" s="8"/>
      <c r="E59" s="8"/>
      <c r="F59" s="8"/>
      <c r="G59" s="8"/>
      <c r="H59" s="8"/>
      <c r="I59" s="8"/>
      <c r="J59" s="8">
        <v>1</v>
      </c>
      <c r="K59" s="8"/>
      <c r="L59" s="8"/>
      <c r="M59" s="8"/>
      <c r="N59" s="8"/>
      <c r="O59" s="8">
        <f t="shared" si="2"/>
        <v>1</v>
      </c>
      <c r="P59" s="8">
        <f t="shared" si="4"/>
        <v>45</v>
      </c>
      <c r="Q59" s="8">
        <f t="shared" si="1"/>
        <v>90</v>
      </c>
      <c r="R59" s="8">
        <v>3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s="18" customFormat="1" x14ac:dyDescent="0.3">
      <c r="A60" s="8" t="s">
        <v>74</v>
      </c>
      <c r="B60" s="8" t="s">
        <v>76</v>
      </c>
      <c r="C60" s="8">
        <v>53</v>
      </c>
      <c r="D60" s="8">
        <v>1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>
        <f t="shared" si="2"/>
        <v>1</v>
      </c>
      <c r="P60" s="8">
        <f t="shared" si="4"/>
        <v>53</v>
      </c>
      <c r="Q60" s="8">
        <f t="shared" si="1"/>
        <v>106</v>
      </c>
      <c r="R60" s="8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s="18" customFormat="1" x14ac:dyDescent="0.3">
      <c r="A61" s="8" t="s">
        <v>74</v>
      </c>
      <c r="B61" s="8" t="s">
        <v>77</v>
      </c>
      <c r="C61" s="8">
        <v>45</v>
      </c>
      <c r="D61" s="8"/>
      <c r="E61" s="8">
        <v>1</v>
      </c>
      <c r="F61" s="8"/>
      <c r="G61" s="8"/>
      <c r="H61" s="8"/>
      <c r="I61" s="8"/>
      <c r="J61" s="8"/>
      <c r="K61" s="8"/>
      <c r="L61" s="8"/>
      <c r="M61" s="8"/>
      <c r="N61" s="8"/>
      <c r="O61" s="8">
        <f t="shared" si="2"/>
        <v>1</v>
      </c>
      <c r="P61" s="8">
        <f t="shared" si="4"/>
        <v>45</v>
      </c>
      <c r="Q61" s="8">
        <f t="shared" si="1"/>
        <v>90</v>
      </c>
      <c r="R61" s="8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s="17" customFormat="1" x14ac:dyDescent="0.3">
      <c r="A62" s="14" t="s">
        <v>78</v>
      </c>
      <c r="B62" s="14" t="s">
        <v>79</v>
      </c>
      <c r="C62" s="14">
        <v>20</v>
      </c>
      <c r="D62" s="14"/>
      <c r="E62" s="14"/>
      <c r="F62" s="14"/>
      <c r="G62" s="14">
        <v>2</v>
      </c>
      <c r="H62" s="14"/>
      <c r="I62" s="14">
        <v>4</v>
      </c>
      <c r="J62" s="14">
        <v>4</v>
      </c>
      <c r="K62" s="14"/>
      <c r="L62" s="14">
        <v>1</v>
      </c>
      <c r="M62" s="14"/>
      <c r="N62" s="14"/>
      <c r="O62" s="14">
        <f t="shared" si="2"/>
        <v>11</v>
      </c>
      <c r="P62" s="14">
        <f t="shared" si="4"/>
        <v>220</v>
      </c>
      <c r="Q62" s="14">
        <f t="shared" si="1"/>
        <v>440</v>
      </c>
      <c r="R62" s="14">
        <v>3</v>
      </c>
    </row>
    <row r="63" spans="1:31" s="17" customFormat="1" x14ac:dyDescent="0.3">
      <c r="A63" s="14" t="s">
        <v>78</v>
      </c>
      <c r="B63" s="14" t="s">
        <v>80</v>
      </c>
      <c r="C63" s="14">
        <v>17</v>
      </c>
      <c r="D63" s="14"/>
      <c r="E63" s="14"/>
      <c r="F63" s="14"/>
      <c r="G63" s="14"/>
      <c r="H63" s="14"/>
      <c r="I63" s="14"/>
      <c r="J63" s="14"/>
      <c r="K63" s="14">
        <v>4</v>
      </c>
      <c r="L63" s="14">
        <v>2</v>
      </c>
      <c r="M63" s="14"/>
      <c r="N63" s="14"/>
      <c r="O63" s="14">
        <f t="shared" si="2"/>
        <v>6</v>
      </c>
      <c r="P63" s="14">
        <f t="shared" si="4"/>
        <v>102</v>
      </c>
      <c r="Q63" s="14">
        <f t="shared" si="1"/>
        <v>204</v>
      </c>
      <c r="R63" s="14"/>
    </row>
    <row r="64" spans="1:31" s="17" customFormat="1" x14ac:dyDescent="0.3">
      <c r="A64" s="14" t="s">
        <v>78</v>
      </c>
      <c r="B64" s="14" t="s">
        <v>102</v>
      </c>
      <c r="C64" s="14">
        <v>17</v>
      </c>
      <c r="D64" s="14"/>
      <c r="E64" s="14"/>
      <c r="F64" s="14"/>
      <c r="G64" s="14"/>
      <c r="H64" s="14"/>
      <c r="I64" s="14"/>
      <c r="J64" s="14"/>
      <c r="K64" s="14"/>
      <c r="L64" s="14">
        <v>2</v>
      </c>
      <c r="M64" s="14"/>
      <c r="N64" s="14"/>
      <c r="O64" s="14">
        <f t="shared" si="2"/>
        <v>2</v>
      </c>
      <c r="P64" s="14">
        <f t="shared" si="4"/>
        <v>34</v>
      </c>
      <c r="Q64" s="14">
        <f t="shared" si="1"/>
        <v>68</v>
      </c>
      <c r="R64" s="14"/>
    </row>
    <row r="65" spans="1:31" s="18" customFormat="1" x14ac:dyDescent="0.3">
      <c r="A65" s="8" t="s">
        <v>81</v>
      </c>
      <c r="B65" s="8" t="s">
        <v>82</v>
      </c>
      <c r="C65" s="8">
        <v>124</v>
      </c>
      <c r="D65" s="8">
        <v>1</v>
      </c>
      <c r="E65" s="8">
        <v>1</v>
      </c>
      <c r="F65" s="8">
        <v>1</v>
      </c>
      <c r="G65" s="8">
        <v>2</v>
      </c>
      <c r="H65" s="8"/>
      <c r="I65" s="8"/>
      <c r="J65" s="8"/>
      <c r="K65" s="8"/>
      <c r="L65" s="8"/>
      <c r="M65" s="8"/>
      <c r="N65" s="8"/>
      <c r="O65" s="8">
        <f t="shared" si="2"/>
        <v>5</v>
      </c>
      <c r="P65" s="8">
        <f t="shared" si="4"/>
        <v>620</v>
      </c>
      <c r="Q65" s="8">
        <f t="shared" si="1"/>
        <v>1240</v>
      </c>
      <c r="R65" s="8">
        <v>1</v>
      </c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s="17" customFormat="1" x14ac:dyDescent="0.3">
      <c r="A66" s="14" t="s">
        <v>83</v>
      </c>
      <c r="B66" s="14" t="s">
        <v>84</v>
      </c>
      <c r="C66" s="14">
        <v>62</v>
      </c>
      <c r="D66" s="14"/>
      <c r="E66" s="14"/>
      <c r="F66" s="14"/>
      <c r="G66" s="14">
        <v>1</v>
      </c>
      <c r="H66" s="14"/>
      <c r="I66" s="14"/>
      <c r="J66" s="14">
        <v>1</v>
      </c>
      <c r="K66" s="14"/>
      <c r="L66" s="14"/>
      <c r="M66" s="14"/>
      <c r="N66" s="14"/>
      <c r="O66" s="14">
        <f t="shared" si="2"/>
        <v>2</v>
      </c>
      <c r="P66" s="14">
        <f t="shared" si="4"/>
        <v>124</v>
      </c>
      <c r="Q66" s="14">
        <f t="shared" si="1"/>
        <v>248</v>
      </c>
      <c r="R66" s="14">
        <v>3</v>
      </c>
    </row>
    <row r="67" spans="1:31" s="17" customFormat="1" x14ac:dyDescent="0.3">
      <c r="A67" s="14" t="s">
        <v>83</v>
      </c>
      <c r="B67" s="14" t="s">
        <v>85</v>
      </c>
      <c r="C67" s="14">
        <v>59</v>
      </c>
      <c r="D67" s="14">
        <v>1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>
        <f t="shared" si="2"/>
        <v>1</v>
      </c>
      <c r="P67" s="14">
        <f t="shared" si="4"/>
        <v>59</v>
      </c>
      <c r="Q67" s="14">
        <f t="shared" si="1"/>
        <v>118</v>
      </c>
      <c r="R67" s="14"/>
    </row>
    <row r="68" spans="1:31" s="17" customFormat="1" x14ac:dyDescent="0.3">
      <c r="A68" s="14" t="s">
        <v>83</v>
      </c>
      <c r="B68" s="14" t="s">
        <v>86</v>
      </c>
      <c r="C68" s="14">
        <v>58</v>
      </c>
      <c r="D68" s="14"/>
      <c r="E68" s="14"/>
      <c r="F68" s="14"/>
      <c r="G68" s="14"/>
      <c r="H68" s="14"/>
      <c r="I68" s="14">
        <v>1</v>
      </c>
      <c r="J68" s="14"/>
      <c r="K68" s="14"/>
      <c r="L68" s="14"/>
      <c r="M68" s="14"/>
      <c r="N68" s="14"/>
      <c r="O68" s="14">
        <f t="shared" si="2"/>
        <v>1</v>
      </c>
      <c r="P68" s="14">
        <f t="shared" ref="P68:P70" si="5">C68*O68</f>
        <v>58</v>
      </c>
      <c r="Q68" s="14">
        <f t="shared" si="1"/>
        <v>116</v>
      </c>
      <c r="R68" s="14"/>
    </row>
    <row r="69" spans="1:31" s="18" customFormat="1" x14ac:dyDescent="0.3">
      <c r="A69" s="8" t="s">
        <v>87</v>
      </c>
      <c r="B69" s="8" t="s">
        <v>88</v>
      </c>
      <c r="C69" s="8">
        <v>69</v>
      </c>
      <c r="D69" s="8"/>
      <c r="E69" s="8"/>
      <c r="F69" s="8">
        <v>1</v>
      </c>
      <c r="G69" s="8"/>
      <c r="H69" s="8"/>
      <c r="I69" s="8"/>
      <c r="J69" s="8"/>
      <c r="K69" s="8">
        <f>K2*C2</f>
        <v>0</v>
      </c>
      <c r="L69" s="8"/>
      <c r="M69" s="8"/>
      <c r="N69" s="8"/>
      <c r="O69" s="8">
        <f t="shared" ref="O69:O70" si="6">SUM(D69:N69)</f>
        <v>1</v>
      </c>
      <c r="P69" s="8">
        <f t="shared" si="5"/>
        <v>69</v>
      </c>
      <c r="Q69" s="8">
        <f t="shared" si="1"/>
        <v>138</v>
      </c>
      <c r="R69" s="8">
        <v>1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x14ac:dyDescent="0.3">
      <c r="A70" s="6" t="s">
        <v>136</v>
      </c>
      <c r="B70" s="6" t="s">
        <v>137</v>
      </c>
      <c r="C70" s="6">
        <v>188</v>
      </c>
      <c r="D70" s="6"/>
      <c r="E70" s="6"/>
      <c r="F70" s="6"/>
      <c r="G70" s="6"/>
      <c r="H70" s="6"/>
      <c r="I70" s="6"/>
      <c r="J70" s="6"/>
      <c r="K70" s="6"/>
      <c r="L70" s="6"/>
      <c r="M70" s="6">
        <v>1</v>
      </c>
      <c r="N70" s="6"/>
      <c r="O70" s="14">
        <f t="shared" si="6"/>
        <v>1</v>
      </c>
      <c r="P70" s="14">
        <f t="shared" si="5"/>
        <v>188</v>
      </c>
      <c r="Q70" s="14">
        <f t="shared" si="1"/>
        <v>376</v>
      </c>
      <c r="R70" s="6">
        <v>1</v>
      </c>
    </row>
    <row r="71" spans="1:3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f>SUM(O2:O70)</f>
        <v>175</v>
      </c>
      <c r="P71" s="6">
        <f>SUM(P2:P70)</f>
        <v>13351</v>
      </c>
      <c r="Q71" s="6">
        <f>SUM(Q2:Q70)</f>
        <v>26702</v>
      </c>
      <c r="R71" s="6"/>
    </row>
    <row r="72" spans="1:31" x14ac:dyDescent="0.3">
      <c r="A72" s="12" t="s">
        <v>11</v>
      </c>
      <c r="B72" s="12"/>
      <c r="C72" s="12"/>
      <c r="D72" s="12">
        <f t="shared" ref="D72:M72" si="7">SUM(D2:D69)</f>
        <v>5</v>
      </c>
      <c r="E72" s="12">
        <f t="shared" si="7"/>
        <v>10</v>
      </c>
      <c r="F72" s="12">
        <f t="shared" si="7"/>
        <v>10</v>
      </c>
      <c r="G72" s="12">
        <f t="shared" si="7"/>
        <v>16</v>
      </c>
      <c r="H72" s="12">
        <f t="shared" si="7"/>
        <v>5</v>
      </c>
      <c r="I72" s="12">
        <f t="shared" si="7"/>
        <v>22</v>
      </c>
      <c r="J72" s="12">
        <f t="shared" si="7"/>
        <v>19</v>
      </c>
      <c r="K72" s="12">
        <f t="shared" si="7"/>
        <v>27</v>
      </c>
      <c r="L72" s="12">
        <f t="shared" si="7"/>
        <v>17</v>
      </c>
      <c r="M72" s="12">
        <f t="shared" si="7"/>
        <v>37</v>
      </c>
      <c r="N72" s="12"/>
      <c r="O72" s="12">
        <f>SUM(D72:M72)</f>
        <v>168</v>
      </c>
      <c r="P72" s="12"/>
      <c r="Q72" s="7">
        <f>SUM(Q2:Q70)</f>
        <v>26702</v>
      </c>
      <c r="R72" s="13">
        <f>SUM(R2:R70)</f>
        <v>69</v>
      </c>
    </row>
    <row r="73" spans="1:3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3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3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3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3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3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3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3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"/>
    </row>
    <row r="82" spans="1:18" x14ac:dyDescent="0.3">
      <c r="A82" s="7" t="s">
        <v>0</v>
      </c>
      <c r="B82" s="7" t="s">
        <v>1</v>
      </c>
      <c r="C82" s="7" t="s">
        <v>2</v>
      </c>
      <c r="D82" s="7" t="s">
        <v>3</v>
      </c>
      <c r="E82" s="7" t="s">
        <v>4</v>
      </c>
      <c r="F82" s="7" t="s">
        <v>5</v>
      </c>
      <c r="G82" s="7" t="s">
        <v>6</v>
      </c>
      <c r="H82" s="7" t="s">
        <v>7</v>
      </c>
      <c r="I82" s="7" t="s">
        <v>8</v>
      </c>
      <c r="J82" s="7" t="s">
        <v>9</v>
      </c>
      <c r="K82" s="7" t="s">
        <v>10</v>
      </c>
      <c r="L82" s="7" t="s">
        <v>93</v>
      </c>
      <c r="M82" s="9" t="s">
        <v>117</v>
      </c>
      <c r="N82" s="9" t="s">
        <v>142</v>
      </c>
      <c r="O82" s="9"/>
      <c r="P82" s="9"/>
      <c r="Q82" s="9"/>
      <c r="R82" s="9"/>
    </row>
    <row r="83" spans="1:18" x14ac:dyDescent="0.3">
      <c r="A83" s="8" t="s">
        <v>13</v>
      </c>
      <c r="B83" s="8" t="s">
        <v>14</v>
      </c>
      <c r="C83" s="8">
        <f t="shared" ref="C83:C128" si="8">C2*2</f>
        <v>16</v>
      </c>
      <c r="D83" s="8">
        <f t="shared" ref="D83:D91" si="9">C83*D2</f>
        <v>0</v>
      </c>
      <c r="E83" s="8">
        <f>C83*E2</f>
        <v>0</v>
      </c>
      <c r="F83" s="8">
        <f>C83*F2</f>
        <v>0</v>
      </c>
      <c r="G83" s="8">
        <f>C83*G2</f>
        <v>0</v>
      </c>
      <c r="H83" s="8">
        <f>C83*H2</f>
        <v>0</v>
      </c>
      <c r="I83" s="8">
        <f>C83*I2</f>
        <v>0</v>
      </c>
      <c r="J83" s="8">
        <f>C83*J2</f>
        <v>16</v>
      </c>
      <c r="K83" s="8">
        <f>C83*K2</f>
        <v>0</v>
      </c>
      <c r="L83" s="8">
        <f>C83*L2</f>
        <v>16</v>
      </c>
      <c r="M83" s="8">
        <f t="shared" ref="M83:M97" si="10">C83*M2</f>
        <v>32</v>
      </c>
      <c r="N83" s="8">
        <f t="shared" ref="N83:N114" si="11">C83*N2</f>
        <v>0</v>
      </c>
      <c r="O83" s="8"/>
      <c r="P83" s="8"/>
      <c r="Q83" s="8">
        <f>SUM(D83:N83)</f>
        <v>64</v>
      </c>
      <c r="R83" s="8">
        <f>SUM(Q83:Q86)</f>
        <v>156</v>
      </c>
    </row>
    <row r="84" spans="1:18" x14ac:dyDescent="0.3">
      <c r="A84" s="8" t="s">
        <v>13</v>
      </c>
      <c r="B84" s="8" t="s">
        <v>15</v>
      </c>
      <c r="C84" s="8">
        <f t="shared" si="8"/>
        <v>2</v>
      </c>
      <c r="D84" s="8">
        <f t="shared" si="9"/>
        <v>0</v>
      </c>
      <c r="E84" s="8">
        <f>C84*E3</f>
        <v>2</v>
      </c>
      <c r="F84" s="8">
        <f>C84*F3</f>
        <v>2</v>
      </c>
      <c r="G84" s="8">
        <f>C84*G3</f>
        <v>0</v>
      </c>
      <c r="H84" s="8">
        <f>C84*H3</f>
        <v>0</v>
      </c>
      <c r="I84" s="8">
        <f>C84*I3</f>
        <v>0</v>
      </c>
      <c r="J84" s="8">
        <f>C84*J3</f>
        <v>0</v>
      </c>
      <c r="K84" s="8">
        <f>C84*K3</f>
        <v>0</v>
      </c>
      <c r="L84" s="8">
        <f>C84*L3</f>
        <v>0</v>
      </c>
      <c r="M84" s="8">
        <f t="shared" si="10"/>
        <v>0</v>
      </c>
      <c r="N84" s="8">
        <f t="shared" si="11"/>
        <v>0</v>
      </c>
      <c r="O84" s="8"/>
      <c r="P84" s="8"/>
      <c r="Q84" s="8">
        <f t="shared" ref="Q84:Q149" si="12">SUM(D84:N84)</f>
        <v>4</v>
      </c>
      <c r="R84" s="8"/>
    </row>
    <row r="85" spans="1:18" x14ac:dyDescent="0.3">
      <c r="A85" s="8" t="s">
        <v>13</v>
      </c>
      <c r="B85" s="8" t="s">
        <v>143</v>
      </c>
      <c r="C85" s="8">
        <f t="shared" si="8"/>
        <v>8</v>
      </c>
      <c r="D85" s="8">
        <f t="shared" si="9"/>
        <v>0</v>
      </c>
      <c r="E85" s="8">
        <f>C85*E4</f>
        <v>0</v>
      </c>
      <c r="F85" s="8">
        <f>C85*F4</f>
        <v>0</v>
      </c>
      <c r="G85" s="8">
        <f>C85*G4</f>
        <v>0</v>
      </c>
      <c r="H85" s="8">
        <f>C85*H4</f>
        <v>0</v>
      </c>
      <c r="I85" s="8">
        <f>C85*I4</f>
        <v>0</v>
      </c>
      <c r="J85" s="8">
        <f>C85*J4</f>
        <v>0</v>
      </c>
      <c r="K85" s="8">
        <f>C85*K4</f>
        <v>0</v>
      </c>
      <c r="L85" s="8">
        <f>C85*L4</f>
        <v>0</v>
      </c>
      <c r="M85" s="8">
        <f t="shared" si="10"/>
        <v>0</v>
      </c>
      <c r="N85" s="8">
        <f t="shared" si="11"/>
        <v>8</v>
      </c>
      <c r="O85" s="8"/>
      <c r="P85" s="8"/>
      <c r="Q85" s="8">
        <f t="shared" si="12"/>
        <v>8</v>
      </c>
      <c r="R85" s="8"/>
    </row>
    <row r="86" spans="1:18" x14ac:dyDescent="0.3">
      <c r="A86" s="8" t="s">
        <v>13</v>
      </c>
      <c r="B86" s="23" t="s">
        <v>16</v>
      </c>
      <c r="C86" s="8">
        <f t="shared" si="8"/>
        <v>16</v>
      </c>
      <c r="D86" s="8">
        <f t="shared" si="9"/>
        <v>16</v>
      </c>
      <c r="E86" s="8">
        <f>C86*E5</f>
        <v>48</v>
      </c>
      <c r="F86" s="8">
        <f>C86*F5</f>
        <v>16</v>
      </c>
      <c r="G86" s="8">
        <f>C86*G5</f>
        <v>0</v>
      </c>
      <c r="H86" s="8">
        <f>C86*H5</f>
        <v>0</v>
      </c>
      <c r="I86" s="8">
        <f>C86*I5</f>
        <v>0</v>
      </c>
      <c r="J86" s="8">
        <f>C86*J5</f>
        <v>0</v>
      </c>
      <c r="K86" s="8">
        <f>C86*K5</f>
        <v>0</v>
      </c>
      <c r="L86" s="8">
        <f>C86*L5</f>
        <v>0</v>
      </c>
      <c r="M86" s="8">
        <f t="shared" si="10"/>
        <v>0</v>
      </c>
      <c r="N86" s="8">
        <f t="shared" si="11"/>
        <v>0</v>
      </c>
      <c r="O86" s="8"/>
      <c r="P86" s="8"/>
      <c r="Q86" s="8">
        <f t="shared" si="12"/>
        <v>80</v>
      </c>
      <c r="R86" s="8"/>
    </row>
    <row r="87" spans="1:18" x14ac:dyDescent="0.3">
      <c r="A87" s="6" t="s">
        <v>17</v>
      </c>
      <c r="B87" s="6" t="s">
        <v>18</v>
      </c>
      <c r="C87" s="6">
        <f t="shared" si="8"/>
        <v>564</v>
      </c>
      <c r="D87" s="6">
        <f t="shared" si="9"/>
        <v>0</v>
      </c>
      <c r="E87" s="6">
        <f>C87*E6</f>
        <v>0</v>
      </c>
      <c r="F87" s="6">
        <f>C87*F6</f>
        <v>0</v>
      </c>
      <c r="G87" s="6">
        <f>C87*G6</f>
        <v>0</v>
      </c>
      <c r="H87" s="6">
        <f>C87*H6</f>
        <v>0</v>
      </c>
      <c r="I87" s="6">
        <f>C87*I6</f>
        <v>0</v>
      </c>
      <c r="J87" s="6">
        <f>C87*J6</f>
        <v>564</v>
      </c>
      <c r="K87" s="6">
        <f>C87*K6</f>
        <v>0</v>
      </c>
      <c r="L87" s="6">
        <f>C87*L6</f>
        <v>0</v>
      </c>
      <c r="M87" s="14">
        <f t="shared" si="10"/>
        <v>564</v>
      </c>
      <c r="N87" s="14">
        <f t="shared" si="11"/>
        <v>0</v>
      </c>
      <c r="O87" s="6"/>
      <c r="P87" s="14"/>
      <c r="Q87" s="14">
        <f t="shared" si="12"/>
        <v>1128</v>
      </c>
      <c r="R87" s="6">
        <f>SUM(Q87)</f>
        <v>1128</v>
      </c>
    </row>
    <row r="88" spans="1:18" x14ac:dyDescent="0.3">
      <c r="A88" s="8" t="s">
        <v>129</v>
      </c>
      <c r="B88" s="8" t="s">
        <v>130</v>
      </c>
      <c r="C88" s="8">
        <f t="shared" si="8"/>
        <v>148</v>
      </c>
      <c r="D88" s="8">
        <f t="shared" si="9"/>
        <v>0</v>
      </c>
      <c r="E88" s="8">
        <f t="shared" ref="E88:L88" si="13">D88*E7</f>
        <v>0</v>
      </c>
      <c r="F88" s="8">
        <f t="shared" si="13"/>
        <v>0</v>
      </c>
      <c r="G88" s="8">
        <f t="shared" si="13"/>
        <v>0</v>
      </c>
      <c r="H88" s="8">
        <f t="shared" si="13"/>
        <v>0</v>
      </c>
      <c r="I88" s="8">
        <f t="shared" si="13"/>
        <v>0</v>
      </c>
      <c r="J88" s="8">
        <f t="shared" si="13"/>
        <v>0</v>
      </c>
      <c r="K88" s="8">
        <f t="shared" si="13"/>
        <v>0</v>
      </c>
      <c r="L88" s="8">
        <f t="shared" si="13"/>
        <v>0</v>
      </c>
      <c r="M88" s="8">
        <f t="shared" si="10"/>
        <v>148</v>
      </c>
      <c r="N88" s="8">
        <f t="shared" si="11"/>
        <v>0</v>
      </c>
      <c r="O88" s="8"/>
      <c r="P88" s="8"/>
      <c r="Q88" s="8">
        <f t="shared" si="12"/>
        <v>148</v>
      </c>
      <c r="R88" s="8">
        <f>SUM(Q88)</f>
        <v>148</v>
      </c>
    </row>
    <row r="89" spans="1:18" x14ac:dyDescent="0.3">
      <c r="A89" s="14" t="s">
        <v>19</v>
      </c>
      <c r="B89" s="14" t="s">
        <v>20</v>
      </c>
      <c r="C89" s="14">
        <f t="shared" si="8"/>
        <v>278</v>
      </c>
      <c r="D89" s="14">
        <f t="shared" si="9"/>
        <v>0</v>
      </c>
      <c r="E89" s="14">
        <f>C89*E8</f>
        <v>0</v>
      </c>
      <c r="F89" s="14">
        <f>C89*F8</f>
        <v>0</v>
      </c>
      <c r="G89" s="14">
        <f>C89*G8</f>
        <v>0</v>
      </c>
      <c r="H89" s="14">
        <f>C89*H8</f>
        <v>0</v>
      </c>
      <c r="I89" s="14">
        <f>C89*I8</f>
        <v>0</v>
      </c>
      <c r="J89" s="14">
        <f>C89*J8</f>
        <v>0</v>
      </c>
      <c r="K89" s="14">
        <f>C89*K8</f>
        <v>278</v>
      </c>
      <c r="L89" s="14">
        <f t="shared" ref="L89:L97" si="14">C89*L8</f>
        <v>0</v>
      </c>
      <c r="M89" s="14">
        <f t="shared" si="10"/>
        <v>834</v>
      </c>
      <c r="N89" s="14">
        <f t="shared" si="11"/>
        <v>0</v>
      </c>
      <c r="O89" s="14"/>
      <c r="P89" s="14"/>
      <c r="Q89" s="14">
        <f t="shared" si="12"/>
        <v>1112</v>
      </c>
      <c r="R89" s="14">
        <f>SUM(Q89:Q92)</f>
        <v>1962</v>
      </c>
    </row>
    <row r="90" spans="1:18" x14ac:dyDescent="0.3">
      <c r="A90" s="14" t="s">
        <v>19</v>
      </c>
      <c r="B90" s="14" t="s">
        <v>21</v>
      </c>
      <c r="C90" s="14">
        <f t="shared" si="8"/>
        <v>282</v>
      </c>
      <c r="D90" s="14">
        <f t="shared" si="9"/>
        <v>0</v>
      </c>
      <c r="E90" s="14">
        <f>C90*E9</f>
        <v>0</v>
      </c>
      <c r="F90" s="14">
        <f>C90*F9</f>
        <v>0</v>
      </c>
      <c r="G90" s="14">
        <f>C90*G9</f>
        <v>0</v>
      </c>
      <c r="H90" s="14">
        <f>C90*H9</f>
        <v>0</v>
      </c>
      <c r="I90" s="14">
        <f>C90*I9</f>
        <v>282</v>
      </c>
      <c r="J90" s="14">
        <f>C90*J9</f>
        <v>0</v>
      </c>
      <c r="K90" s="14">
        <f>C90*K9</f>
        <v>0</v>
      </c>
      <c r="L90" s="14">
        <f t="shared" si="14"/>
        <v>0</v>
      </c>
      <c r="M90" s="14">
        <f t="shared" si="10"/>
        <v>0</v>
      </c>
      <c r="N90" s="14">
        <f t="shared" si="11"/>
        <v>0</v>
      </c>
      <c r="O90" s="14"/>
      <c r="P90" s="14"/>
      <c r="Q90" s="14">
        <f t="shared" si="12"/>
        <v>282</v>
      </c>
      <c r="R90" s="14"/>
    </row>
    <row r="91" spans="1:18" x14ac:dyDescent="0.3">
      <c r="A91" s="14" t="s">
        <v>19</v>
      </c>
      <c r="B91" s="14" t="s">
        <v>135</v>
      </c>
      <c r="C91" s="14">
        <f t="shared" si="8"/>
        <v>276</v>
      </c>
      <c r="D91" s="14">
        <f t="shared" si="9"/>
        <v>0</v>
      </c>
      <c r="E91" s="14">
        <f>C91*E10</f>
        <v>0</v>
      </c>
      <c r="F91" s="14">
        <f>C91*F10</f>
        <v>0</v>
      </c>
      <c r="G91" s="14">
        <f>C91*G10</f>
        <v>0</v>
      </c>
      <c r="H91" s="14">
        <f>C91*H10</f>
        <v>0</v>
      </c>
      <c r="I91" s="14">
        <f>C91*I10</f>
        <v>0</v>
      </c>
      <c r="J91" s="14">
        <f>C91*J10</f>
        <v>0</v>
      </c>
      <c r="K91" s="14">
        <f>C91*K10</f>
        <v>0</v>
      </c>
      <c r="L91" s="14">
        <f t="shared" si="14"/>
        <v>0</v>
      </c>
      <c r="M91" s="14">
        <f t="shared" si="10"/>
        <v>276</v>
      </c>
      <c r="N91" s="14">
        <f t="shared" si="11"/>
        <v>0</v>
      </c>
      <c r="O91" s="14"/>
      <c r="P91" s="14"/>
      <c r="Q91" s="14">
        <f t="shared" si="12"/>
        <v>276</v>
      </c>
      <c r="R91" s="14"/>
    </row>
    <row r="92" spans="1:18" x14ac:dyDescent="0.3">
      <c r="A92" s="14" t="s">
        <v>19</v>
      </c>
      <c r="B92" s="14" t="s">
        <v>133</v>
      </c>
      <c r="C92" s="14">
        <f t="shared" si="8"/>
        <v>292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f t="shared" si="14"/>
        <v>292</v>
      </c>
      <c r="M92" s="14">
        <f t="shared" si="10"/>
        <v>0</v>
      </c>
      <c r="N92" s="14">
        <f t="shared" si="11"/>
        <v>0</v>
      </c>
      <c r="O92" s="14"/>
      <c r="P92" s="14"/>
      <c r="Q92" s="14">
        <f t="shared" si="12"/>
        <v>292</v>
      </c>
      <c r="R92" s="14"/>
    </row>
    <row r="93" spans="1:18" x14ac:dyDescent="0.3">
      <c r="A93" s="8" t="s">
        <v>22</v>
      </c>
      <c r="B93" s="8" t="s">
        <v>23</v>
      </c>
      <c r="C93" s="8">
        <f t="shared" si="8"/>
        <v>66</v>
      </c>
      <c r="D93" s="8">
        <f>C93*D12</f>
        <v>0</v>
      </c>
      <c r="E93" s="8">
        <f>C93*E12</f>
        <v>0</v>
      </c>
      <c r="F93" s="8">
        <f>C93*F12</f>
        <v>0</v>
      </c>
      <c r="G93" s="8">
        <f>C93*G12</f>
        <v>0</v>
      </c>
      <c r="H93" s="8">
        <f>C93*H12</f>
        <v>0</v>
      </c>
      <c r="I93" s="8">
        <f>C93*I12</f>
        <v>0</v>
      </c>
      <c r="J93" s="8">
        <f>C93*J12</f>
        <v>0</v>
      </c>
      <c r="K93" s="8">
        <f>C93*K12</f>
        <v>66</v>
      </c>
      <c r="L93" s="8">
        <f t="shared" si="14"/>
        <v>0</v>
      </c>
      <c r="M93" s="8">
        <f t="shared" si="10"/>
        <v>0</v>
      </c>
      <c r="N93" s="8">
        <f t="shared" si="11"/>
        <v>0</v>
      </c>
      <c r="O93" s="8"/>
      <c r="P93" s="8"/>
      <c r="Q93" s="8">
        <f t="shared" si="12"/>
        <v>66</v>
      </c>
      <c r="R93" s="8">
        <f>SUM(Q93:Q97)</f>
        <v>1288</v>
      </c>
    </row>
    <row r="94" spans="1:18" x14ac:dyDescent="0.3">
      <c r="A94" s="8" t="s">
        <v>22</v>
      </c>
      <c r="B94" s="8" t="s">
        <v>24</v>
      </c>
      <c r="C94" s="8">
        <f t="shared" si="8"/>
        <v>92</v>
      </c>
      <c r="D94" s="8">
        <f>C94*D13</f>
        <v>0</v>
      </c>
      <c r="E94" s="8">
        <f>C94*E13</f>
        <v>0</v>
      </c>
      <c r="F94" s="8">
        <f>C94*F13</f>
        <v>0</v>
      </c>
      <c r="G94" s="8">
        <f>C94*G13</f>
        <v>92</v>
      </c>
      <c r="H94" s="8">
        <f>C94*H13</f>
        <v>0</v>
      </c>
      <c r="I94" s="8">
        <f>C94*I13</f>
        <v>0</v>
      </c>
      <c r="J94" s="8">
        <f>C94*J13</f>
        <v>0</v>
      </c>
      <c r="K94" s="8">
        <f>C94*K13</f>
        <v>0</v>
      </c>
      <c r="L94" s="8">
        <f t="shared" si="14"/>
        <v>0</v>
      </c>
      <c r="M94" s="8">
        <f t="shared" si="10"/>
        <v>0</v>
      </c>
      <c r="N94" s="8">
        <f t="shared" si="11"/>
        <v>0</v>
      </c>
      <c r="O94" s="8"/>
      <c r="P94" s="8"/>
      <c r="Q94" s="8">
        <f t="shared" si="12"/>
        <v>92</v>
      </c>
      <c r="R94" s="8"/>
    </row>
    <row r="95" spans="1:18" x14ac:dyDescent="0.3">
      <c r="A95" s="8" t="s">
        <v>22</v>
      </c>
      <c r="B95" s="8" t="s">
        <v>25</v>
      </c>
      <c r="C95" s="8">
        <f t="shared" si="8"/>
        <v>84</v>
      </c>
      <c r="D95" s="8">
        <f>C95*D14</f>
        <v>0</v>
      </c>
      <c r="E95" s="8">
        <f>C95*E14</f>
        <v>0</v>
      </c>
      <c r="F95" s="8">
        <f>C95*F14</f>
        <v>0</v>
      </c>
      <c r="G95" s="8">
        <f>C95*G14</f>
        <v>0</v>
      </c>
      <c r="H95" s="8">
        <f>C95*H14</f>
        <v>0</v>
      </c>
      <c r="I95" s="8">
        <f>C95*I14</f>
        <v>0</v>
      </c>
      <c r="J95" s="8">
        <f>C95*J14</f>
        <v>0</v>
      </c>
      <c r="K95" s="8">
        <f>C95*K14</f>
        <v>84</v>
      </c>
      <c r="L95" s="8">
        <f t="shared" si="14"/>
        <v>0</v>
      </c>
      <c r="M95" s="8">
        <f t="shared" si="10"/>
        <v>840</v>
      </c>
      <c r="N95" s="8">
        <f t="shared" si="11"/>
        <v>0</v>
      </c>
      <c r="O95" s="8"/>
      <c r="P95" s="8"/>
      <c r="Q95" s="8">
        <f t="shared" si="12"/>
        <v>924</v>
      </c>
      <c r="R95" s="8"/>
    </row>
    <row r="96" spans="1:18" x14ac:dyDescent="0.3">
      <c r="A96" s="8" t="s">
        <v>22</v>
      </c>
      <c r="B96" s="8" t="s">
        <v>26</v>
      </c>
      <c r="C96" s="8">
        <f t="shared" si="8"/>
        <v>120</v>
      </c>
      <c r="D96" s="8">
        <f>C96*D15</f>
        <v>0</v>
      </c>
      <c r="E96" s="8">
        <f>C96*E15</f>
        <v>0</v>
      </c>
      <c r="F96" s="8">
        <f>C96*F15</f>
        <v>0</v>
      </c>
      <c r="G96" s="8">
        <f>C96*G15</f>
        <v>120</v>
      </c>
      <c r="H96" s="8">
        <f>C96*H15</f>
        <v>0</v>
      </c>
      <c r="I96" s="8">
        <f>C96*I15</f>
        <v>0</v>
      </c>
      <c r="J96" s="8">
        <f>C96*J15</f>
        <v>0</v>
      </c>
      <c r="K96" s="8">
        <f>C96*K15</f>
        <v>0</v>
      </c>
      <c r="L96" s="8">
        <f t="shared" si="14"/>
        <v>0</v>
      </c>
      <c r="M96" s="8">
        <f t="shared" si="10"/>
        <v>0</v>
      </c>
      <c r="N96" s="8">
        <f t="shared" si="11"/>
        <v>0</v>
      </c>
      <c r="O96" s="8"/>
      <c r="P96" s="8"/>
      <c r="Q96" s="8">
        <f t="shared" si="12"/>
        <v>120</v>
      </c>
      <c r="R96" s="8"/>
    </row>
    <row r="97" spans="1:31" x14ac:dyDescent="0.3">
      <c r="A97" s="8" t="s">
        <v>22</v>
      </c>
      <c r="B97" s="8" t="s">
        <v>27</v>
      </c>
      <c r="C97" s="8">
        <f t="shared" si="8"/>
        <v>86</v>
      </c>
      <c r="D97" s="8">
        <f>C97*D16</f>
        <v>0</v>
      </c>
      <c r="E97" s="8">
        <f>C97*E16</f>
        <v>0</v>
      </c>
      <c r="F97" s="8">
        <f>C97*F16</f>
        <v>86</v>
      </c>
      <c r="G97" s="8">
        <f>C97*G16</f>
        <v>0</v>
      </c>
      <c r="H97" s="8">
        <f>C97*H16</f>
        <v>0</v>
      </c>
      <c r="I97" s="8">
        <f>C97*I16</f>
        <v>0</v>
      </c>
      <c r="J97" s="8">
        <f>C97*J16</f>
        <v>0</v>
      </c>
      <c r="K97" s="8">
        <f>C97*K16</f>
        <v>0</v>
      </c>
      <c r="L97" s="8">
        <f t="shared" si="14"/>
        <v>0</v>
      </c>
      <c r="M97" s="8">
        <f t="shared" si="10"/>
        <v>0</v>
      </c>
      <c r="N97" s="8">
        <f t="shared" si="11"/>
        <v>0</v>
      </c>
      <c r="O97" s="8"/>
      <c r="P97" s="8"/>
      <c r="Q97" s="8">
        <f t="shared" si="12"/>
        <v>86</v>
      </c>
      <c r="R97" s="8"/>
    </row>
    <row r="98" spans="1:31" x14ac:dyDescent="0.3">
      <c r="A98" s="14" t="s">
        <v>125</v>
      </c>
      <c r="B98" s="14" t="s">
        <v>126</v>
      </c>
      <c r="C98" s="14">
        <f t="shared" si="8"/>
        <v>364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f>C98*M18</f>
        <v>364</v>
      </c>
      <c r="N98" s="14">
        <f t="shared" si="11"/>
        <v>0</v>
      </c>
      <c r="O98" s="14"/>
      <c r="P98" s="14"/>
      <c r="Q98" s="14">
        <f t="shared" si="12"/>
        <v>364</v>
      </c>
      <c r="R98" s="14">
        <f>Q98</f>
        <v>364</v>
      </c>
    </row>
    <row r="99" spans="1:31" x14ac:dyDescent="0.3">
      <c r="A99" s="8" t="s">
        <v>28</v>
      </c>
      <c r="B99" s="8" t="s">
        <v>29</v>
      </c>
      <c r="C99" s="8">
        <f t="shared" si="8"/>
        <v>370</v>
      </c>
      <c r="D99" s="8">
        <f t="shared" ref="D99:D109" si="15">C99*D18</f>
        <v>0</v>
      </c>
      <c r="E99" s="8">
        <f>C99*E18</f>
        <v>0</v>
      </c>
      <c r="F99" s="8">
        <f>C99*F18</f>
        <v>0</v>
      </c>
      <c r="G99" s="8">
        <f>C99*G18</f>
        <v>0</v>
      </c>
      <c r="H99" s="8">
        <f>D99*H18</f>
        <v>0</v>
      </c>
      <c r="I99" s="8">
        <f>C99*I18</f>
        <v>0</v>
      </c>
      <c r="J99" s="8">
        <f>C99*J18</f>
        <v>0</v>
      </c>
      <c r="K99" s="8">
        <f>C99*K18</f>
        <v>0</v>
      </c>
      <c r="L99" s="8">
        <f>C99*L18</f>
        <v>0</v>
      </c>
      <c r="M99" s="8">
        <f t="shared" ref="M99:M130" si="16">C99*M18</f>
        <v>370</v>
      </c>
      <c r="N99" s="8">
        <f t="shared" si="11"/>
        <v>370</v>
      </c>
      <c r="O99" s="8"/>
      <c r="P99" s="8"/>
      <c r="Q99" s="8">
        <f t="shared" si="12"/>
        <v>740</v>
      </c>
      <c r="R99" s="8">
        <f>SUM(Q99:Q100)</f>
        <v>1572</v>
      </c>
    </row>
    <row r="100" spans="1:31" x14ac:dyDescent="0.3">
      <c r="A100" s="8" t="s">
        <v>28</v>
      </c>
      <c r="B100" s="8" t="s">
        <v>29</v>
      </c>
      <c r="C100" s="8">
        <f t="shared" si="8"/>
        <v>416</v>
      </c>
      <c r="D100" s="8">
        <f t="shared" si="15"/>
        <v>0</v>
      </c>
      <c r="E100" s="8">
        <f>C100*E19</f>
        <v>0</v>
      </c>
      <c r="F100" s="8">
        <f>C100*F19</f>
        <v>0</v>
      </c>
      <c r="G100" s="8">
        <f>C100*G19</f>
        <v>0</v>
      </c>
      <c r="H100" s="8">
        <f>D100*H19</f>
        <v>0</v>
      </c>
      <c r="I100" s="8">
        <f>C100*I19</f>
        <v>0</v>
      </c>
      <c r="J100" s="8">
        <f>C100*J19</f>
        <v>416</v>
      </c>
      <c r="K100" s="8">
        <f>C100*K19</f>
        <v>0</v>
      </c>
      <c r="L100" s="8">
        <f>C100*L19</f>
        <v>416</v>
      </c>
      <c r="M100" s="8">
        <f t="shared" si="16"/>
        <v>0</v>
      </c>
      <c r="N100" s="8">
        <f t="shared" si="11"/>
        <v>0</v>
      </c>
      <c r="O100" s="8"/>
      <c r="P100" s="8"/>
      <c r="Q100" s="8">
        <f t="shared" si="12"/>
        <v>832</v>
      </c>
      <c r="R100" s="8"/>
    </row>
    <row r="101" spans="1:31" s="17" customFormat="1" x14ac:dyDescent="0.3">
      <c r="A101" s="14" t="s">
        <v>131</v>
      </c>
      <c r="B101" s="14" t="s">
        <v>132</v>
      </c>
      <c r="C101" s="14">
        <f t="shared" si="8"/>
        <v>236</v>
      </c>
      <c r="D101" s="14">
        <f t="shared" si="15"/>
        <v>0</v>
      </c>
      <c r="E101" s="14">
        <f t="shared" ref="E101:L101" si="17">D101*E20</f>
        <v>0</v>
      </c>
      <c r="F101" s="14">
        <f t="shared" si="17"/>
        <v>0</v>
      </c>
      <c r="G101" s="14">
        <f t="shared" si="17"/>
        <v>0</v>
      </c>
      <c r="H101" s="14">
        <f t="shared" si="17"/>
        <v>0</v>
      </c>
      <c r="I101" s="14">
        <f t="shared" si="17"/>
        <v>0</v>
      </c>
      <c r="J101" s="14">
        <f t="shared" si="17"/>
        <v>0</v>
      </c>
      <c r="K101" s="14">
        <f t="shared" si="17"/>
        <v>0</v>
      </c>
      <c r="L101" s="14">
        <f t="shared" si="17"/>
        <v>0</v>
      </c>
      <c r="M101" s="14">
        <f t="shared" si="16"/>
        <v>236</v>
      </c>
      <c r="N101" s="14">
        <f t="shared" si="11"/>
        <v>0</v>
      </c>
      <c r="O101" s="14"/>
      <c r="P101" s="14"/>
      <c r="Q101" s="14">
        <f t="shared" si="12"/>
        <v>236</v>
      </c>
      <c r="R101" s="14">
        <f>Q101</f>
        <v>236</v>
      </c>
    </row>
    <row r="102" spans="1:31" s="17" customFormat="1" x14ac:dyDescent="0.3">
      <c r="A102" s="8" t="s">
        <v>30</v>
      </c>
      <c r="B102" s="8" t="s">
        <v>31</v>
      </c>
      <c r="C102" s="8">
        <f t="shared" si="8"/>
        <v>110</v>
      </c>
      <c r="D102" s="8">
        <f t="shared" si="15"/>
        <v>0</v>
      </c>
      <c r="E102" s="8">
        <f t="shared" ref="E102:E109" si="18">C102*E21</f>
        <v>110</v>
      </c>
      <c r="F102" s="8">
        <f t="shared" ref="F102:F109" si="19">C102*F21</f>
        <v>110</v>
      </c>
      <c r="G102" s="8">
        <f t="shared" ref="G102:G109" si="20">C102*G21</f>
        <v>0</v>
      </c>
      <c r="H102" s="8">
        <f t="shared" ref="H102:H109" si="21">C102*H21</f>
        <v>0</v>
      </c>
      <c r="I102" s="8">
        <f t="shared" ref="I102:I109" si="22">C102*I21</f>
        <v>0</v>
      </c>
      <c r="J102" s="8">
        <f t="shared" ref="J102:J109" si="23">C102*J21</f>
        <v>0</v>
      </c>
      <c r="K102" s="8">
        <f t="shared" ref="K102:K109" si="24">C102*K21</f>
        <v>0</v>
      </c>
      <c r="L102" s="8">
        <f t="shared" ref="L102:L109" si="25">C102*L21</f>
        <v>0</v>
      </c>
      <c r="M102" s="8">
        <f t="shared" si="16"/>
        <v>0</v>
      </c>
      <c r="N102" s="8">
        <f t="shared" si="11"/>
        <v>0</v>
      </c>
      <c r="O102" s="8"/>
      <c r="P102" s="8"/>
      <c r="Q102" s="8">
        <f t="shared" si="12"/>
        <v>220</v>
      </c>
      <c r="R102" s="8">
        <f>SUM(Q102:Q106)</f>
        <v>906</v>
      </c>
    </row>
    <row r="103" spans="1:31" s="17" customFormat="1" x14ac:dyDescent="0.3">
      <c r="A103" s="8" t="s">
        <v>30</v>
      </c>
      <c r="B103" s="8" t="s">
        <v>32</v>
      </c>
      <c r="C103" s="8">
        <f t="shared" si="8"/>
        <v>108</v>
      </c>
      <c r="D103" s="8">
        <f t="shared" si="15"/>
        <v>0</v>
      </c>
      <c r="E103" s="8">
        <f t="shared" si="18"/>
        <v>0</v>
      </c>
      <c r="F103" s="8">
        <f t="shared" si="19"/>
        <v>0</v>
      </c>
      <c r="G103" s="8">
        <f t="shared" si="20"/>
        <v>108</v>
      </c>
      <c r="H103" s="8">
        <f t="shared" si="21"/>
        <v>0</v>
      </c>
      <c r="I103" s="8">
        <f t="shared" si="22"/>
        <v>0</v>
      </c>
      <c r="J103" s="8">
        <f t="shared" si="23"/>
        <v>0</v>
      </c>
      <c r="K103" s="8">
        <f t="shared" si="24"/>
        <v>0</v>
      </c>
      <c r="L103" s="8">
        <f t="shared" si="25"/>
        <v>0</v>
      </c>
      <c r="M103" s="8">
        <f t="shared" si="16"/>
        <v>0</v>
      </c>
      <c r="N103" s="8">
        <f t="shared" si="11"/>
        <v>0</v>
      </c>
      <c r="O103" s="8"/>
      <c r="P103" s="8"/>
      <c r="Q103" s="8">
        <f t="shared" si="12"/>
        <v>108</v>
      </c>
      <c r="R103" s="8"/>
    </row>
    <row r="104" spans="1:31" s="17" customFormat="1" x14ac:dyDescent="0.3">
      <c r="A104" s="8" t="s">
        <v>30</v>
      </c>
      <c r="B104" s="8" t="s">
        <v>33</v>
      </c>
      <c r="C104" s="8">
        <f t="shared" si="8"/>
        <v>110</v>
      </c>
      <c r="D104" s="8">
        <f t="shared" si="15"/>
        <v>0</v>
      </c>
      <c r="E104" s="8">
        <f t="shared" si="18"/>
        <v>110</v>
      </c>
      <c r="F104" s="8">
        <f t="shared" si="19"/>
        <v>0</v>
      </c>
      <c r="G104" s="8">
        <f t="shared" si="20"/>
        <v>0</v>
      </c>
      <c r="H104" s="8">
        <f t="shared" si="21"/>
        <v>0</v>
      </c>
      <c r="I104" s="8">
        <f t="shared" si="22"/>
        <v>0</v>
      </c>
      <c r="J104" s="8">
        <f t="shared" si="23"/>
        <v>0</v>
      </c>
      <c r="K104" s="8">
        <f t="shared" si="24"/>
        <v>0</v>
      </c>
      <c r="L104" s="8">
        <f t="shared" si="25"/>
        <v>0</v>
      </c>
      <c r="M104" s="8">
        <f t="shared" si="16"/>
        <v>0</v>
      </c>
      <c r="N104" s="8">
        <f t="shared" si="11"/>
        <v>0</v>
      </c>
      <c r="O104" s="8"/>
      <c r="P104" s="8"/>
      <c r="Q104" s="8">
        <f t="shared" si="12"/>
        <v>110</v>
      </c>
      <c r="R104" s="8"/>
    </row>
    <row r="105" spans="1:31" s="17" customFormat="1" x14ac:dyDescent="0.3">
      <c r="A105" s="8" t="s">
        <v>30</v>
      </c>
      <c r="B105" s="8" t="s">
        <v>34</v>
      </c>
      <c r="C105" s="8">
        <f t="shared" si="8"/>
        <v>92</v>
      </c>
      <c r="D105" s="8">
        <f t="shared" si="15"/>
        <v>0</v>
      </c>
      <c r="E105" s="8">
        <f t="shared" si="18"/>
        <v>0</v>
      </c>
      <c r="F105" s="8">
        <f t="shared" si="19"/>
        <v>0</v>
      </c>
      <c r="G105" s="8">
        <f t="shared" si="20"/>
        <v>0</v>
      </c>
      <c r="H105" s="8">
        <f t="shared" si="21"/>
        <v>0</v>
      </c>
      <c r="I105" s="8">
        <f t="shared" si="22"/>
        <v>0</v>
      </c>
      <c r="J105" s="8">
        <f t="shared" si="23"/>
        <v>92</v>
      </c>
      <c r="K105" s="8">
        <f t="shared" si="24"/>
        <v>0</v>
      </c>
      <c r="L105" s="8">
        <f t="shared" si="25"/>
        <v>0</v>
      </c>
      <c r="M105" s="8">
        <f t="shared" si="16"/>
        <v>0</v>
      </c>
      <c r="N105" s="8">
        <f t="shared" si="11"/>
        <v>0</v>
      </c>
      <c r="O105" s="8"/>
      <c r="P105" s="8"/>
      <c r="Q105" s="8">
        <f t="shared" si="12"/>
        <v>92</v>
      </c>
      <c r="R105" s="8"/>
    </row>
    <row r="106" spans="1:31" s="17" customFormat="1" x14ac:dyDescent="0.3">
      <c r="A106" s="8" t="s">
        <v>30</v>
      </c>
      <c r="B106" s="8" t="s">
        <v>35</v>
      </c>
      <c r="C106" s="8">
        <f t="shared" si="8"/>
        <v>94</v>
      </c>
      <c r="D106" s="8">
        <f t="shared" si="15"/>
        <v>0</v>
      </c>
      <c r="E106" s="8">
        <f t="shared" si="18"/>
        <v>0</v>
      </c>
      <c r="F106" s="8">
        <f t="shared" si="19"/>
        <v>0</v>
      </c>
      <c r="G106" s="8">
        <f t="shared" si="20"/>
        <v>0</v>
      </c>
      <c r="H106" s="8">
        <f t="shared" si="21"/>
        <v>94</v>
      </c>
      <c r="I106" s="8">
        <f t="shared" si="22"/>
        <v>188</v>
      </c>
      <c r="J106" s="8">
        <f t="shared" si="23"/>
        <v>0</v>
      </c>
      <c r="K106" s="8">
        <f t="shared" si="24"/>
        <v>94</v>
      </c>
      <c r="L106" s="8">
        <f t="shared" si="25"/>
        <v>0</v>
      </c>
      <c r="M106" s="8">
        <f t="shared" si="16"/>
        <v>0</v>
      </c>
      <c r="N106" s="8">
        <f t="shared" si="11"/>
        <v>0</v>
      </c>
      <c r="O106" s="8"/>
      <c r="P106" s="8"/>
      <c r="Q106" s="8">
        <f t="shared" si="12"/>
        <v>376</v>
      </c>
      <c r="R106" s="8"/>
    </row>
    <row r="107" spans="1:31" s="17" customFormat="1" x14ac:dyDescent="0.3">
      <c r="A107" s="14" t="s">
        <v>98</v>
      </c>
      <c r="B107" s="14" t="s">
        <v>101</v>
      </c>
      <c r="C107" s="14">
        <f t="shared" si="8"/>
        <v>800</v>
      </c>
      <c r="D107" s="14">
        <f t="shared" si="15"/>
        <v>0</v>
      </c>
      <c r="E107" s="14">
        <f t="shared" si="18"/>
        <v>0</v>
      </c>
      <c r="F107" s="14">
        <f t="shared" si="19"/>
        <v>0</v>
      </c>
      <c r="G107" s="14">
        <f t="shared" si="20"/>
        <v>0</v>
      </c>
      <c r="H107" s="14">
        <f t="shared" si="21"/>
        <v>0</v>
      </c>
      <c r="I107" s="14">
        <f t="shared" si="22"/>
        <v>0</v>
      </c>
      <c r="J107" s="14">
        <f t="shared" si="23"/>
        <v>0</v>
      </c>
      <c r="K107" s="14">
        <f t="shared" si="24"/>
        <v>0</v>
      </c>
      <c r="L107" s="14">
        <f t="shared" si="25"/>
        <v>800</v>
      </c>
      <c r="M107" s="14">
        <f t="shared" si="16"/>
        <v>0</v>
      </c>
      <c r="N107" s="14">
        <f t="shared" si="11"/>
        <v>0</v>
      </c>
      <c r="O107" s="14"/>
      <c r="P107" s="14"/>
      <c r="Q107" s="14">
        <f t="shared" si="12"/>
        <v>800</v>
      </c>
      <c r="R107" s="14">
        <f t="shared" ref="R107:R112" si="26">Q107</f>
        <v>800</v>
      </c>
    </row>
    <row r="108" spans="1:31" s="18" customFormat="1" x14ac:dyDescent="0.3">
      <c r="A108" s="8" t="s">
        <v>36</v>
      </c>
      <c r="B108" s="8" t="s">
        <v>37</v>
      </c>
      <c r="C108" s="8">
        <f t="shared" si="8"/>
        <v>726</v>
      </c>
      <c r="D108" s="8">
        <f t="shared" si="15"/>
        <v>0</v>
      </c>
      <c r="E108" s="8">
        <f t="shared" si="18"/>
        <v>0</v>
      </c>
      <c r="F108" s="8">
        <f t="shared" si="19"/>
        <v>0</v>
      </c>
      <c r="G108" s="8">
        <f t="shared" si="20"/>
        <v>0</v>
      </c>
      <c r="H108" s="8">
        <f t="shared" si="21"/>
        <v>0</v>
      </c>
      <c r="I108" s="8">
        <f t="shared" si="22"/>
        <v>0</v>
      </c>
      <c r="J108" s="8">
        <f t="shared" si="23"/>
        <v>0</v>
      </c>
      <c r="K108" s="8">
        <f t="shared" si="24"/>
        <v>726</v>
      </c>
      <c r="L108" s="8">
        <f t="shared" si="25"/>
        <v>0</v>
      </c>
      <c r="M108" s="8">
        <f t="shared" si="16"/>
        <v>0</v>
      </c>
      <c r="N108" s="8">
        <f t="shared" si="11"/>
        <v>0</v>
      </c>
      <c r="O108" s="8"/>
      <c r="P108" s="8"/>
      <c r="Q108" s="8">
        <f t="shared" si="12"/>
        <v>726</v>
      </c>
      <c r="R108" s="8">
        <f t="shared" si="26"/>
        <v>726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s="17" customFormat="1" x14ac:dyDescent="0.3">
      <c r="A109" s="14" t="s">
        <v>96</v>
      </c>
      <c r="B109" s="14" t="s">
        <v>95</v>
      </c>
      <c r="C109" s="14">
        <f t="shared" si="8"/>
        <v>186</v>
      </c>
      <c r="D109" s="14">
        <f t="shared" si="15"/>
        <v>0</v>
      </c>
      <c r="E109" s="14">
        <f t="shared" si="18"/>
        <v>0</v>
      </c>
      <c r="F109" s="14">
        <f t="shared" si="19"/>
        <v>0</v>
      </c>
      <c r="G109" s="14">
        <f t="shared" si="20"/>
        <v>0</v>
      </c>
      <c r="H109" s="14">
        <f t="shared" si="21"/>
        <v>0</v>
      </c>
      <c r="I109" s="14">
        <f t="shared" si="22"/>
        <v>0</v>
      </c>
      <c r="J109" s="14">
        <f t="shared" si="23"/>
        <v>0</v>
      </c>
      <c r="K109" s="14">
        <f t="shared" si="24"/>
        <v>0</v>
      </c>
      <c r="L109" s="14">
        <f t="shared" si="25"/>
        <v>0</v>
      </c>
      <c r="M109" s="14">
        <f t="shared" si="16"/>
        <v>186</v>
      </c>
      <c r="N109" s="14">
        <f t="shared" si="11"/>
        <v>0</v>
      </c>
      <c r="O109" s="14"/>
      <c r="P109" s="14"/>
      <c r="Q109" s="14">
        <f t="shared" si="12"/>
        <v>186</v>
      </c>
      <c r="R109" s="14">
        <f>Q109</f>
        <v>186</v>
      </c>
    </row>
    <row r="110" spans="1:31" s="18" customFormat="1" x14ac:dyDescent="0.3">
      <c r="A110" s="8" t="s">
        <v>122</v>
      </c>
      <c r="B110" s="8" t="s">
        <v>123</v>
      </c>
      <c r="C110" s="8">
        <f t="shared" si="8"/>
        <v>348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f t="shared" si="16"/>
        <v>348</v>
      </c>
      <c r="N110" s="8">
        <f t="shared" si="11"/>
        <v>0</v>
      </c>
      <c r="O110" s="8"/>
      <c r="P110" s="8"/>
      <c r="Q110" s="8">
        <f t="shared" si="12"/>
        <v>348</v>
      </c>
      <c r="R110" s="8">
        <f>Q110</f>
        <v>348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s="17" customFormat="1" x14ac:dyDescent="0.3">
      <c r="A111" s="14" t="s">
        <v>99</v>
      </c>
      <c r="B111" s="14" t="s">
        <v>100</v>
      </c>
      <c r="C111" s="14">
        <f t="shared" si="8"/>
        <v>418</v>
      </c>
      <c r="D111" s="14">
        <f t="shared" ref="D111:K111" si="27">C111*D31</f>
        <v>0</v>
      </c>
      <c r="E111" s="14">
        <f t="shared" si="27"/>
        <v>0</v>
      </c>
      <c r="F111" s="14">
        <f t="shared" si="27"/>
        <v>0</v>
      </c>
      <c r="G111" s="14">
        <f t="shared" si="27"/>
        <v>0</v>
      </c>
      <c r="H111" s="14">
        <f t="shared" si="27"/>
        <v>0</v>
      </c>
      <c r="I111" s="14">
        <f t="shared" si="27"/>
        <v>0</v>
      </c>
      <c r="J111" s="14">
        <f t="shared" si="27"/>
        <v>0</v>
      </c>
      <c r="K111" s="14">
        <f t="shared" si="27"/>
        <v>0</v>
      </c>
      <c r="L111" s="14">
        <f>C111*L30</f>
        <v>418</v>
      </c>
      <c r="M111" s="14">
        <f t="shared" si="16"/>
        <v>0</v>
      </c>
      <c r="N111" s="14">
        <f t="shared" si="11"/>
        <v>0</v>
      </c>
      <c r="O111" s="14"/>
      <c r="P111" s="14"/>
      <c r="Q111" s="14">
        <f t="shared" si="12"/>
        <v>418</v>
      </c>
      <c r="R111" s="14">
        <f t="shared" si="26"/>
        <v>418</v>
      </c>
    </row>
    <row r="112" spans="1:31" s="18" customFormat="1" x14ac:dyDescent="0.3">
      <c r="A112" s="8" t="s">
        <v>38</v>
      </c>
      <c r="B112" s="8" t="s">
        <v>39</v>
      </c>
      <c r="C112" s="8">
        <f t="shared" si="8"/>
        <v>516</v>
      </c>
      <c r="D112" s="8">
        <f t="shared" ref="D112:D144" si="28">C112*D31</f>
        <v>0</v>
      </c>
      <c r="E112" s="8">
        <f>C112*E31</f>
        <v>0</v>
      </c>
      <c r="F112" s="8">
        <f>C112*F31</f>
        <v>0</v>
      </c>
      <c r="G112" s="8">
        <f>C112*G31</f>
        <v>0</v>
      </c>
      <c r="H112" s="8">
        <f t="shared" ref="H112:H144" si="29">C112*H31</f>
        <v>0</v>
      </c>
      <c r="I112" s="8">
        <f>C112*I31</f>
        <v>516</v>
      </c>
      <c r="J112" s="8">
        <f>C112*J31</f>
        <v>0</v>
      </c>
      <c r="K112" s="8">
        <f>C112*K31</f>
        <v>0</v>
      </c>
      <c r="L112" s="8">
        <f>C112*L31</f>
        <v>0</v>
      </c>
      <c r="M112" s="8">
        <f t="shared" si="16"/>
        <v>0</v>
      </c>
      <c r="N112" s="8">
        <f t="shared" si="11"/>
        <v>0</v>
      </c>
      <c r="O112" s="8"/>
      <c r="P112" s="8"/>
      <c r="Q112" s="8">
        <f t="shared" si="12"/>
        <v>516</v>
      </c>
      <c r="R112" s="8">
        <f t="shared" si="26"/>
        <v>516</v>
      </c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s="17" customFormat="1" x14ac:dyDescent="0.3">
      <c r="A113" s="14" t="s">
        <v>44</v>
      </c>
      <c r="B113" s="14" t="s">
        <v>45</v>
      </c>
      <c r="C113" s="14">
        <f t="shared" si="8"/>
        <v>50</v>
      </c>
      <c r="D113" s="14">
        <f t="shared" si="28"/>
        <v>0</v>
      </c>
      <c r="E113" s="14">
        <f>C113*E32</f>
        <v>0</v>
      </c>
      <c r="F113" s="14">
        <f>C113*F32</f>
        <v>0</v>
      </c>
      <c r="G113" s="14">
        <f>C113*G32</f>
        <v>0</v>
      </c>
      <c r="H113" s="14">
        <f t="shared" si="29"/>
        <v>0</v>
      </c>
      <c r="I113" s="14">
        <f>C113*I32</f>
        <v>0</v>
      </c>
      <c r="J113" s="14">
        <f>C113*J32</f>
        <v>50</v>
      </c>
      <c r="K113" s="14">
        <f>C113*K32</f>
        <v>50</v>
      </c>
      <c r="L113" s="14">
        <f>C113*L32</f>
        <v>0</v>
      </c>
      <c r="M113" s="14">
        <f t="shared" si="16"/>
        <v>0</v>
      </c>
      <c r="N113" s="14">
        <f t="shared" si="11"/>
        <v>0</v>
      </c>
      <c r="O113" s="14"/>
      <c r="P113" s="14"/>
      <c r="Q113" s="14">
        <f t="shared" si="12"/>
        <v>100</v>
      </c>
      <c r="R113" s="14">
        <f>SUM(Q113:Q118)</f>
        <v>1768</v>
      </c>
    </row>
    <row r="114" spans="1:31" s="17" customFormat="1" x14ac:dyDescent="0.3">
      <c r="A114" s="14" t="s">
        <v>44</v>
      </c>
      <c r="B114" s="14" t="s">
        <v>128</v>
      </c>
      <c r="C114" s="14">
        <f t="shared" si="8"/>
        <v>38</v>
      </c>
      <c r="D114" s="14">
        <f t="shared" si="28"/>
        <v>0</v>
      </c>
      <c r="E114" s="14">
        <f>D114*E33</f>
        <v>0</v>
      </c>
      <c r="F114" s="14">
        <f>E114*F33</f>
        <v>0</v>
      </c>
      <c r="G114" s="14">
        <f>F114*G33</f>
        <v>0</v>
      </c>
      <c r="H114" s="14">
        <f t="shared" si="29"/>
        <v>0</v>
      </c>
      <c r="I114" s="14">
        <f>D114*I33</f>
        <v>0</v>
      </c>
      <c r="J114" s="14">
        <f>E114*J33</f>
        <v>0</v>
      </c>
      <c r="K114" s="14">
        <f>F114*K33</f>
        <v>0</v>
      </c>
      <c r="L114" s="14">
        <f>G114*L33</f>
        <v>0</v>
      </c>
      <c r="M114" s="14">
        <f t="shared" si="16"/>
        <v>38</v>
      </c>
      <c r="N114" s="14">
        <f t="shared" si="11"/>
        <v>0</v>
      </c>
      <c r="O114" s="14"/>
      <c r="P114" s="14"/>
      <c r="Q114" s="14">
        <f t="shared" si="12"/>
        <v>38</v>
      </c>
      <c r="R114" s="14"/>
    </row>
    <row r="115" spans="1:31" s="17" customFormat="1" x14ac:dyDescent="0.3">
      <c r="A115" s="14" t="s">
        <v>44</v>
      </c>
      <c r="B115" s="14" t="s">
        <v>46</v>
      </c>
      <c r="C115" s="14">
        <f t="shared" si="8"/>
        <v>54</v>
      </c>
      <c r="D115" s="14">
        <f t="shared" si="28"/>
        <v>0</v>
      </c>
      <c r="E115" s="14">
        <f t="shared" ref="E115:E144" si="30">C115*E34</f>
        <v>0</v>
      </c>
      <c r="F115" s="14">
        <f t="shared" ref="F115:F144" si="31">C115*F34</f>
        <v>0</v>
      </c>
      <c r="G115" s="14">
        <f t="shared" ref="G115:G144" si="32">C115*G34</f>
        <v>54</v>
      </c>
      <c r="H115" s="14">
        <f t="shared" si="29"/>
        <v>0</v>
      </c>
      <c r="I115" s="14">
        <f t="shared" ref="I115:I144" si="33">C115*I34</f>
        <v>54</v>
      </c>
      <c r="J115" s="14">
        <f t="shared" ref="J115:J144" si="34">C115*J34</f>
        <v>108</v>
      </c>
      <c r="K115" s="14">
        <f t="shared" ref="K115:K144" si="35">C115*K34</f>
        <v>0</v>
      </c>
      <c r="L115" s="14">
        <f t="shared" ref="L115:L151" si="36">C115*L34</f>
        <v>0</v>
      </c>
      <c r="M115" s="14">
        <f t="shared" si="16"/>
        <v>0</v>
      </c>
      <c r="N115" s="14">
        <f t="shared" ref="N115:N146" si="37">C115*N34</f>
        <v>0</v>
      </c>
      <c r="O115" s="19"/>
      <c r="P115" s="14"/>
      <c r="Q115" s="14">
        <f t="shared" si="12"/>
        <v>216</v>
      </c>
      <c r="R115" s="14"/>
    </row>
    <row r="116" spans="1:31" s="17" customFormat="1" x14ac:dyDescent="0.3">
      <c r="A116" s="14" t="s">
        <v>44</v>
      </c>
      <c r="B116" s="14" t="s">
        <v>47</v>
      </c>
      <c r="C116" s="14">
        <f t="shared" si="8"/>
        <v>54</v>
      </c>
      <c r="D116" s="14">
        <f t="shared" si="28"/>
        <v>0</v>
      </c>
      <c r="E116" s="14">
        <f t="shared" si="30"/>
        <v>0</v>
      </c>
      <c r="F116" s="14">
        <f t="shared" si="31"/>
        <v>0</v>
      </c>
      <c r="G116" s="14">
        <f t="shared" si="32"/>
        <v>0</v>
      </c>
      <c r="H116" s="14">
        <f t="shared" si="29"/>
        <v>0</v>
      </c>
      <c r="I116" s="14">
        <f t="shared" si="33"/>
        <v>0</v>
      </c>
      <c r="J116" s="14">
        <f t="shared" si="34"/>
        <v>0</v>
      </c>
      <c r="K116" s="14">
        <f t="shared" si="35"/>
        <v>54</v>
      </c>
      <c r="L116" s="14">
        <f t="shared" si="36"/>
        <v>0</v>
      </c>
      <c r="M116" s="14">
        <f t="shared" si="16"/>
        <v>432</v>
      </c>
      <c r="N116" s="14">
        <f t="shared" si="37"/>
        <v>54</v>
      </c>
      <c r="O116" s="14"/>
      <c r="P116" s="14"/>
      <c r="Q116" s="14">
        <f t="shared" si="12"/>
        <v>540</v>
      </c>
      <c r="R116" s="14"/>
    </row>
    <row r="117" spans="1:31" s="17" customFormat="1" x14ac:dyDescent="0.3">
      <c r="A117" s="14" t="s">
        <v>44</v>
      </c>
      <c r="B117" s="14" t="s">
        <v>48</v>
      </c>
      <c r="C117" s="14">
        <f t="shared" si="8"/>
        <v>54</v>
      </c>
      <c r="D117" s="14">
        <f t="shared" si="28"/>
        <v>0</v>
      </c>
      <c r="E117" s="14">
        <f t="shared" si="30"/>
        <v>0</v>
      </c>
      <c r="F117" s="14">
        <f t="shared" si="31"/>
        <v>54</v>
      </c>
      <c r="G117" s="14">
        <f t="shared" si="32"/>
        <v>108</v>
      </c>
      <c r="H117" s="14">
        <f t="shared" si="29"/>
        <v>54</v>
      </c>
      <c r="I117" s="14">
        <f t="shared" si="33"/>
        <v>54</v>
      </c>
      <c r="J117" s="14">
        <f t="shared" si="34"/>
        <v>0</v>
      </c>
      <c r="K117" s="14">
        <f t="shared" si="35"/>
        <v>54</v>
      </c>
      <c r="L117" s="14">
        <f t="shared" si="36"/>
        <v>54</v>
      </c>
      <c r="M117" s="14">
        <f t="shared" si="16"/>
        <v>0</v>
      </c>
      <c r="N117" s="14">
        <f t="shared" si="37"/>
        <v>0</v>
      </c>
      <c r="O117" s="14"/>
      <c r="P117" s="14"/>
      <c r="Q117" s="14">
        <f t="shared" si="12"/>
        <v>378</v>
      </c>
      <c r="R117" s="14"/>
    </row>
    <row r="118" spans="1:31" s="17" customFormat="1" x14ac:dyDescent="0.3">
      <c r="A118" s="14" t="s">
        <v>44</v>
      </c>
      <c r="B118" s="14" t="s">
        <v>49</v>
      </c>
      <c r="C118" s="14">
        <f t="shared" si="8"/>
        <v>62</v>
      </c>
      <c r="D118" s="14">
        <f t="shared" si="28"/>
        <v>0</v>
      </c>
      <c r="E118" s="14">
        <f t="shared" si="30"/>
        <v>0</v>
      </c>
      <c r="F118" s="14">
        <f t="shared" si="31"/>
        <v>0</v>
      </c>
      <c r="G118" s="14">
        <f t="shared" si="32"/>
        <v>0</v>
      </c>
      <c r="H118" s="14">
        <f t="shared" si="29"/>
        <v>0</v>
      </c>
      <c r="I118" s="14">
        <f t="shared" si="33"/>
        <v>62</v>
      </c>
      <c r="J118" s="14">
        <f t="shared" si="34"/>
        <v>0</v>
      </c>
      <c r="K118" s="14">
        <f t="shared" si="35"/>
        <v>186</v>
      </c>
      <c r="L118" s="14">
        <f t="shared" si="36"/>
        <v>124</v>
      </c>
      <c r="M118" s="14">
        <f t="shared" si="16"/>
        <v>124</v>
      </c>
      <c r="N118" s="14">
        <f t="shared" si="37"/>
        <v>0</v>
      </c>
      <c r="O118" s="14"/>
      <c r="P118" s="14"/>
      <c r="Q118" s="14">
        <f t="shared" si="12"/>
        <v>496</v>
      </c>
      <c r="R118" s="14"/>
    </row>
    <row r="119" spans="1:31" s="18" customFormat="1" x14ac:dyDescent="0.3">
      <c r="A119" s="8" t="s">
        <v>40</v>
      </c>
      <c r="B119" s="8" t="s">
        <v>41</v>
      </c>
      <c r="C119" s="8">
        <f t="shared" si="8"/>
        <v>158</v>
      </c>
      <c r="D119" s="8">
        <f t="shared" si="28"/>
        <v>0</v>
      </c>
      <c r="E119" s="8">
        <f t="shared" si="30"/>
        <v>0</v>
      </c>
      <c r="F119" s="8">
        <f t="shared" si="31"/>
        <v>0</v>
      </c>
      <c r="G119" s="8">
        <f t="shared" si="32"/>
        <v>0</v>
      </c>
      <c r="H119" s="8">
        <f t="shared" si="29"/>
        <v>0</v>
      </c>
      <c r="I119" s="8">
        <f t="shared" si="33"/>
        <v>158</v>
      </c>
      <c r="J119" s="8">
        <f t="shared" si="34"/>
        <v>0</v>
      </c>
      <c r="K119" s="8">
        <f t="shared" si="35"/>
        <v>158</v>
      </c>
      <c r="L119" s="8">
        <f t="shared" si="36"/>
        <v>158</v>
      </c>
      <c r="M119" s="8">
        <f t="shared" si="16"/>
        <v>0</v>
      </c>
      <c r="N119" s="8">
        <f t="shared" si="37"/>
        <v>0</v>
      </c>
      <c r="O119" s="8"/>
      <c r="P119" s="8"/>
      <c r="Q119" s="8">
        <f t="shared" si="12"/>
        <v>474</v>
      </c>
      <c r="R119" s="8">
        <f>SUM(Q119:Q121)</f>
        <v>1150</v>
      </c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s="18" customFormat="1" x14ac:dyDescent="0.3">
      <c r="A120" s="8" t="s">
        <v>40</v>
      </c>
      <c r="B120" s="8" t="s">
        <v>42</v>
      </c>
      <c r="C120" s="8">
        <f t="shared" si="8"/>
        <v>140</v>
      </c>
      <c r="D120" s="8">
        <f t="shared" si="28"/>
        <v>0</v>
      </c>
      <c r="E120" s="8">
        <f t="shared" si="30"/>
        <v>0</v>
      </c>
      <c r="F120" s="8">
        <f t="shared" si="31"/>
        <v>0</v>
      </c>
      <c r="G120" s="8">
        <f t="shared" si="32"/>
        <v>0</v>
      </c>
      <c r="H120" s="8">
        <f t="shared" si="29"/>
        <v>0</v>
      </c>
      <c r="I120" s="8">
        <f t="shared" si="33"/>
        <v>280</v>
      </c>
      <c r="J120" s="8">
        <f t="shared" si="34"/>
        <v>0</v>
      </c>
      <c r="K120" s="8">
        <f t="shared" si="35"/>
        <v>0</v>
      </c>
      <c r="L120" s="8">
        <f t="shared" si="36"/>
        <v>0</v>
      </c>
      <c r="M120" s="8">
        <f t="shared" si="16"/>
        <v>0</v>
      </c>
      <c r="N120" s="8">
        <f t="shared" si="37"/>
        <v>0</v>
      </c>
      <c r="O120" s="8"/>
      <c r="P120" s="8"/>
      <c r="Q120" s="8">
        <f t="shared" si="12"/>
        <v>280</v>
      </c>
      <c r="R120" s="8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s="18" customFormat="1" x14ac:dyDescent="0.3">
      <c r="A121" s="8" t="s">
        <v>40</v>
      </c>
      <c r="B121" s="8" t="s">
        <v>43</v>
      </c>
      <c r="C121" s="8">
        <f t="shared" si="8"/>
        <v>132</v>
      </c>
      <c r="D121" s="8">
        <f t="shared" si="28"/>
        <v>0</v>
      </c>
      <c r="E121" s="8">
        <f t="shared" si="30"/>
        <v>0</v>
      </c>
      <c r="F121" s="8">
        <f t="shared" si="31"/>
        <v>0</v>
      </c>
      <c r="G121" s="8">
        <f t="shared" si="32"/>
        <v>0</v>
      </c>
      <c r="H121" s="8">
        <f t="shared" si="29"/>
        <v>0</v>
      </c>
      <c r="I121" s="8">
        <f t="shared" si="33"/>
        <v>0</v>
      </c>
      <c r="J121" s="8">
        <f t="shared" si="34"/>
        <v>132</v>
      </c>
      <c r="K121" s="8">
        <f t="shared" si="35"/>
        <v>132</v>
      </c>
      <c r="L121" s="8">
        <f t="shared" si="36"/>
        <v>132</v>
      </c>
      <c r="M121" s="8">
        <f t="shared" si="16"/>
        <v>0</v>
      </c>
      <c r="N121" s="8">
        <f t="shared" si="37"/>
        <v>0</v>
      </c>
      <c r="O121" s="8"/>
      <c r="P121" s="8"/>
      <c r="Q121" s="8">
        <f t="shared" si="12"/>
        <v>396</v>
      </c>
      <c r="R121" s="8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s="17" customFormat="1" x14ac:dyDescent="0.3">
      <c r="A122" s="14" t="s">
        <v>50</v>
      </c>
      <c r="B122" s="14" t="s">
        <v>51</v>
      </c>
      <c r="C122" s="14">
        <f t="shared" si="8"/>
        <v>840</v>
      </c>
      <c r="D122" s="14">
        <f t="shared" si="28"/>
        <v>0</v>
      </c>
      <c r="E122" s="14">
        <f t="shared" si="30"/>
        <v>0</v>
      </c>
      <c r="F122" s="14">
        <f t="shared" si="31"/>
        <v>0</v>
      </c>
      <c r="G122" s="14">
        <f t="shared" si="32"/>
        <v>0</v>
      </c>
      <c r="H122" s="14">
        <f t="shared" si="29"/>
        <v>0</v>
      </c>
      <c r="I122" s="14">
        <f t="shared" si="33"/>
        <v>0</v>
      </c>
      <c r="J122" s="14">
        <f t="shared" si="34"/>
        <v>0</v>
      </c>
      <c r="K122" s="14">
        <f t="shared" si="35"/>
        <v>840</v>
      </c>
      <c r="L122" s="14">
        <f t="shared" si="36"/>
        <v>0</v>
      </c>
      <c r="M122" s="14">
        <f t="shared" si="16"/>
        <v>0</v>
      </c>
      <c r="N122" s="14">
        <f t="shared" si="37"/>
        <v>0</v>
      </c>
      <c r="O122" s="14"/>
      <c r="P122" s="14"/>
      <c r="Q122" s="14">
        <f t="shared" si="12"/>
        <v>840</v>
      </c>
      <c r="R122" s="14">
        <f>Q122</f>
        <v>840</v>
      </c>
    </row>
    <row r="123" spans="1:31" s="18" customFormat="1" x14ac:dyDescent="0.3">
      <c r="A123" s="8" t="s">
        <v>52</v>
      </c>
      <c r="B123" s="8" t="s">
        <v>53</v>
      </c>
      <c r="C123" s="8">
        <f t="shared" si="8"/>
        <v>282</v>
      </c>
      <c r="D123" s="8">
        <f t="shared" si="28"/>
        <v>0</v>
      </c>
      <c r="E123" s="8">
        <f t="shared" si="30"/>
        <v>0</v>
      </c>
      <c r="F123" s="8">
        <f t="shared" si="31"/>
        <v>0</v>
      </c>
      <c r="G123" s="8">
        <f t="shared" si="32"/>
        <v>0</v>
      </c>
      <c r="H123" s="8">
        <f t="shared" si="29"/>
        <v>0</v>
      </c>
      <c r="I123" s="8">
        <f t="shared" si="33"/>
        <v>0</v>
      </c>
      <c r="J123" s="8">
        <f t="shared" si="34"/>
        <v>0</v>
      </c>
      <c r="K123" s="8">
        <f t="shared" si="35"/>
        <v>282</v>
      </c>
      <c r="L123" s="8">
        <f t="shared" si="36"/>
        <v>0</v>
      </c>
      <c r="M123" s="8">
        <f t="shared" si="16"/>
        <v>0</v>
      </c>
      <c r="N123" s="8">
        <f t="shared" si="37"/>
        <v>0</v>
      </c>
      <c r="O123" s="8"/>
      <c r="P123" s="8"/>
      <c r="Q123" s="8">
        <f t="shared" si="12"/>
        <v>282</v>
      </c>
      <c r="R123" s="8">
        <f>Q123</f>
        <v>282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s="17" customFormat="1" x14ac:dyDescent="0.3">
      <c r="A124" s="14" t="s">
        <v>54</v>
      </c>
      <c r="B124" s="14" t="s">
        <v>55</v>
      </c>
      <c r="C124" s="14">
        <f t="shared" si="8"/>
        <v>160</v>
      </c>
      <c r="D124" s="14">
        <f t="shared" si="28"/>
        <v>0</v>
      </c>
      <c r="E124" s="14">
        <f t="shared" si="30"/>
        <v>160</v>
      </c>
      <c r="F124" s="14">
        <f t="shared" si="31"/>
        <v>160</v>
      </c>
      <c r="G124" s="14">
        <f t="shared" si="32"/>
        <v>320</v>
      </c>
      <c r="H124" s="14">
        <f t="shared" si="29"/>
        <v>0</v>
      </c>
      <c r="I124" s="14">
        <f t="shared" si="33"/>
        <v>480</v>
      </c>
      <c r="J124" s="14">
        <f t="shared" si="34"/>
        <v>160</v>
      </c>
      <c r="K124" s="14">
        <f t="shared" si="35"/>
        <v>160</v>
      </c>
      <c r="L124" s="14">
        <f t="shared" si="36"/>
        <v>0</v>
      </c>
      <c r="M124" s="14">
        <f t="shared" si="16"/>
        <v>0</v>
      </c>
      <c r="N124" s="14">
        <f t="shared" si="37"/>
        <v>0</v>
      </c>
      <c r="O124" s="14"/>
      <c r="P124" s="14"/>
      <c r="Q124" s="14">
        <f t="shared" si="12"/>
        <v>1440</v>
      </c>
      <c r="R124" s="14">
        <f>Q124</f>
        <v>1440</v>
      </c>
    </row>
    <row r="125" spans="1:31" s="18" customFormat="1" x14ac:dyDescent="0.3">
      <c r="A125" s="8" t="s">
        <v>120</v>
      </c>
      <c r="B125" s="8" t="s">
        <v>119</v>
      </c>
      <c r="C125" s="8">
        <f t="shared" si="8"/>
        <v>1044</v>
      </c>
      <c r="D125" s="8">
        <f t="shared" si="28"/>
        <v>0</v>
      </c>
      <c r="E125" s="8">
        <f t="shared" si="30"/>
        <v>0</v>
      </c>
      <c r="F125" s="8">
        <f t="shared" si="31"/>
        <v>0</v>
      </c>
      <c r="G125" s="8">
        <f t="shared" si="32"/>
        <v>0</v>
      </c>
      <c r="H125" s="8">
        <f t="shared" si="29"/>
        <v>0</v>
      </c>
      <c r="I125" s="8">
        <f t="shared" si="33"/>
        <v>0</v>
      </c>
      <c r="J125" s="8">
        <f t="shared" si="34"/>
        <v>0</v>
      </c>
      <c r="K125" s="8">
        <f t="shared" si="35"/>
        <v>0</v>
      </c>
      <c r="L125" s="8">
        <f t="shared" si="36"/>
        <v>0</v>
      </c>
      <c r="M125" s="8">
        <f t="shared" si="16"/>
        <v>2088</v>
      </c>
      <c r="N125" s="8">
        <f t="shared" si="37"/>
        <v>0</v>
      </c>
      <c r="O125" s="8"/>
      <c r="P125" s="8"/>
      <c r="Q125" s="8">
        <f t="shared" si="12"/>
        <v>2088</v>
      </c>
      <c r="R125" s="8">
        <f>Q125</f>
        <v>2088</v>
      </c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s="17" customFormat="1" x14ac:dyDescent="0.3">
      <c r="A126" s="14" t="s">
        <v>56</v>
      </c>
      <c r="B126" s="14" t="s">
        <v>57</v>
      </c>
      <c r="C126" s="14">
        <f t="shared" si="8"/>
        <v>68</v>
      </c>
      <c r="D126" s="14">
        <f t="shared" si="28"/>
        <v>0</v>
      </c>
      <c r="E126" s="14">
        <f t="shared" si="30"/>
        <v>0</v>
      </c>
      <c r="F126" s="14">
        <f t="shared" si="31"/>
        <v>0</v>
      </c>
      <c r="G126" s="14">
        <f t="shared" si="32"/>
        <v>68</v>
      </c>
      <c r="H126" s="14">
        <f t="shared" si="29"/>
        <v>0</v>
      </c>
      <c r="I126" s="14">
        <f t="shared" si="33"/>
        <v>136</v>
      </c>
      <c r="J126" s="14">
        <f t="shared" si="34"/>
        <v>0</v>
      </c>
      <c r="K126" s="14">
        <f t="shared" si="35"/>
        <v>136</v>
      </c>
      <c r="L126" s="14">
        <f t="shared" si="36"/>
        <v>68</v>
      </c>
      <c r="M126" s="14">
        <f t="shared" si="16"/>
        <v>0</v>
      </c>
      <c r="N126" s="14">
        <f t="shared" si="37"/>
        <v>68</v>
      </c>
      <c r="O126" s="14"/>
      <c r="P126" s="14"/>
      <c r="Q126" s="14">
        <f t="shared" si="12"/>
        <v>476</v>
      </c>
      <c r="R126" s="14">
        <f>SUM(Q126:Q128)</f>
        <v>750</v>
      </c>
    </row>
    <row r="127" spans="1:31" s="17" customFormat="1" x14ac:dyDescent="0.3">
      <c r="A127" s="14" t="s">
        <v>56</v>
      </c>
      <c r="B127" s="14" t="s">
        <v>58</v>
      </c>
      <c r="C127" s="14">
        <f t="shared" si="8"/>
        <v>90</v>
      </c>
      <c r="D127" s="14">
        <f t="shared" si="28"/>
        <v>0</v>
      </c>
      <c r="E127" s="14">
        <f t="shared" si="30"/>
        <v>0</v>
      </c>
      <c r="F127" s="14">
        <f t="shared" si="31"/>
        <v>90</v>
      </c>
      <c r="G127" s="14">
        <f t="shared" si="32"/>
        <v>0</v>
      </c>
      <c r="H127" s="14">
        <f t="shared" si="29"/>
        <v>0</v>
      </c>
      <c r="I127" s="14">
        <f t="shared" si="33"/>
        <v>0</v>
      </c>
      <c r="J127" s="14">
        <f t="shared" si="34"/>
        <v>0</v>
      </c>
      <c r="K127" s="14">
        <f t="shared" si="35"/>
        <v>0</v>
      </c>
      <c r="L127" s="14">
        <f t="shared" si="36"/>
        <v>0</v>
      </c>
      <c r="M127" s="14">
        <f t="shared" si="16"/>
        <v>0</v>
      </c>
      <c r="N127" s="14">
        <f t="shared" si="37"/>
        <v>0</v>
      </c>
      <c r="O127" s="14"/>
      <c r="P127" s="14"/>
      <c r="Q127" s="14">
        <f t="shared" si="12"/>
        <v>90</v>
      </c>
      <c r="R127" s="14"/>
    </row>
    <row r="128" spans="1:31" s="17" customFormat="1" x14ac:dyDescent="0.3">
      <c r="A128" s="14" t="s">
        <v>56</v>
      </c>
      <c r="B128" s="14" t="s">
        <v>144</v>
      </c>
      <c r="C128" s="14">
        <f t="shared" si="8"/>
        <v>92</v>
      </c>
      <c r="D128" s="14">
        <f t="shared" si="28"/>
        <v>0</v>
      </c>
      <c r="E128" s="14">
        <f t="shared" si="30"/>
        <v>0</v>
      </c>
      <c r="F128" s="14">
        <f t="shared" si="31"/>
        <v>0</v>
      </c>
      <c r="G128" s="14">
        <f t="shared" si="32"/>
        <v>0</v>
      </c>
      <c r="H128" s="14">
        <f t="shared" si="29"/>
        <v>0</v>
      </c>
      <c r="I128" s="14">
        <f t="shared" si="33"/>
        <v>0</v>
      </c>
      <c r="J128" s="14">
        <f t="shared" si="34"/>
        <v>0</v>
      </c>
      <c r="K128" s="14">
        <f t="shared" si="35"/>
        <v>0</v>
      </c>
      <c r="L128" s="14">
        <f t="shared" si="36"/>
        <v>92</v>
      </c>
      <c r="M128" s="14">
        <f t="shared" si="16"/>
        <v>0</v>
      </c>
      <c r="N128" s="14">
        <f t="shared" si="37"/>
        <v>92</v>
      </c>
      <c r="O128" s="14"/>
      <c r="P128" s="14"/>
      <c r="Q128" s="14">
        <f t="shared" si="12"/>
        <v>184</v>
      </c>
      <c r="R128" s="14"/>
    </row>
    <row r="129" spans="1:31" s="18" customFormat="1" x14ac:dyDescent="0.3">
      <c r="A129" s="8" t="s">
        <v>59</v>
      </c>
      <c r="B129" s="8" t="s">
        <v>60</v>
      </c>
      <c r="C129" s="8">
        <f t="shared" ref="C129:C147" si="38">C48*2</f>
        <v>264</v>
      </c>
      <c r="D129" s="8">
        <f t="shared" si="28"/>
        <v>0</v>
      </c>
      <c r="E129" s="8">
        <f t="shared" si="30"/>
        <v>0</v>
      </c>
      <c r="F129" s="8">
        <f t="shared" si="31"/>
        <v>0</v>
      </c>
      <c r="G129" s="8">
        <f t="shared" si="32"/>
        <v>0</v>
      </c>
      <c r="H129" s="8">
        <f t="shared" si="29"/>
        <v>264</v>
      </c>
      <c r="I129" s="8">
        <f t="shared" si="33"/>
        <v>0</v>
      </c>
      <c r="J129" s="8">
        <f t="shared" si="34"/>
        <v>0</v>
      </c>
      <c r="K129" s="8">
        <f t="shared" si="35"/>
        <v>0</v>
      </c>
      <c r="L129" s="8">
        <f t="shared" si="36"/>
        <v>0</v>
      </c>
      <c r="M129" s="8">
        <f t="shared" si="16"/>
        <v>0</v>
      </c>
      <c r="N129" s="8">
        <f t="shared" si="37"/>
        <v>0</v>
      </c>
      <c r="O129" s="8"/>
      <c r="P129" s="8"/>
      <c r="Q129" s="8">
        <f t="shared" si="12"/>
        <v>264</v>
      </c>
      <c r="R129" s="8">
        <f>SUM(Q129:Q131)</f>
        <v>1050</v>
      </c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s="18" customFormat="1" x14ac:dyDescent="0.3">
      <c r="A130" s="8" t="s">
        <v>59</v>
      </c>
      <c r="B130" s="8" t="s">
        <v>61</v>
      </c>
      <c r="C130" s="8">
        <f t="shared" si="38"/>
        <v>262</v>
      </c>
      <c r="D130" s="8">
        <f t="shared" si="28"/>
        <v>0</v>
      </c>
      <c r="E130" s="8">
        <f t="shared" si="30"/>
        <v>0</v>
      </c>
      <c r="F130" s="8">
        <f t="shared" si="31"/>
        <v>262</v>
      </c>
      <c r="G130" s="8">
        <f t="shared" si="32"/>
        <v>0</v>
      </c>
      <c r="H130" s="8">
        <f t="shared" si="29"/>
        <v>0</v>
      </c>
      <c r="I130" s="8">
        <f t="shared" si="33"/>
        <v>0</v>
      </c>
      <c r="J130" s="8">
        <f t="shared" si="34"/>
        <v>0</v>
      </c>
      <c r="K130" s="8">
        <f t="shared" si="35"/>
        <v>0</v>
      </c>
      <c r="L130" s="8">
        <f t="shared" si="36"/>
        <v>0</v>
      </c>
      <c r="M130" s="8">
        <f t="shared" si="16"/>
        <v>0</v>
      </c>
      <c r="N130" s="8">
        <f t="shared" si="37"/>
        <v>0</v>
      </c>
      <c r="O130" s="8"/>
      <c r="P130" s="8"/>
      <c r="Q130" s="8">
        <f t="shared" si="12"/>
        <v>262</v>
      </c>
      <c r="R130" s="8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s="18" customFormat="1" x14ac:dyDescent="0.3">
      <c r="A131" s="8" t="s">
        <v>59</v>
      </c>
      <c r="B131" s="8" t="s">
        <v>62</v>
      </c>
      <c r="C131" s="8">
        <f t="shared" si="38"/>
        <v>262</v>
      </c>
      <c r="D131" s="8">
        <f t="shared" si="28"/>
        <v>262</v>
      </c>
      <c r="E131" s="8">
        <f t="shared" si="30"/>
        <v>0</v>
      </c>
      <c r="F131" s="8">
        <f t="shared" si="31"/>
        <v>0</v>
      </c>
      <c r="G131" s="8">
        <f t="shared" si="32"/>
        <v>0</v>
      </c>
      <c r="H131" s="8">
        <f t="shared" si="29"/>
        <v>0</v>
      </c>
      <c r="I131" s="8">
        <f t="shared" si="33"/>
        <v>0</v>
      </c>
      <c r="J131" s="8">
        <f t="shared" si="34"/>
        <v>0</v>
      </c>
      <c r="K131" s="8">
        <f t="shared" si="35"/>
        <v>262</v>
      </c>
      <c r="L131" s="8">
        <f t="shared" si="36"/>
        <v>0</v>
      </c>
      <c r="M131" s="8">
        <f t="shared" ref="M131:M151" si="39">C131*M50</f>
        <v>0</v>
      </c>
      <c r="N131" s="8">
        <f t="shared" si="37"/>
        <v>0</v>
      </c>
      <c r="O131" s="8"/>
      <c r="P131" s="8"/>
      <c r="Q131" s="8">
        <f t="shared" si="12"/>
        <v>524</v>
      </c>
      <c r="R131" s="8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s="17" customFormat="1" x14ac:dyDescent="0.3">
      <c r="A132" s="14" t="s">
        <v>63</v>
      </c>
      <c r="B132" s="14" t="s">
        <v>64</v>
      </c>
      <c r="C132" s="14">
        <f t="shared" si="38"/>
        <v>272</v>
      </c>
      <c r="D132" s="14">
        <f t="shared" si="28"/>
        <v>0</v>
      </c>
      <c r="E132" s="14">
        <f t="shared" si="30"/>
        <v>0</v>
      </c>
      <c r="F132" s="14">
        <f t="shared" si="31"/>
        <v>0</v>
      </c>
      <c r="G132" s="14">
        <f t="shared" si="32"/>
        <v>0</v>
      </c>
      <c r="H132" s="14">
        <f t="shared" si="29"/>
        <v>0</v>
      </c>
      <c r="I132" s="14">
        <f t="shared" si="33"/>
        <v>0</v>
      </c>
      <c r="J132" s="14">
        <f t="shared" si="34"/>
        <v>544</v>
      </c>
      <c r="K132" s="14">
        <f t="shared" si="35"/>
        <v>272</v>
      </c>
      <c r="L132" s="14">
        <f t="shared" si="36"/>
        <v>0</v>
      </c>
      <c r="M132" s="14">
        <f t="shared" si="39"/>
        <v>0</v>
      </c>
      <c r="N132" s="14">
        <f t="shared" si="37"/>
        <v>0</v>
      </c>
      <c r="O132" s="14"/>
      <c r="P132" s="14"/>
      <c r="Q132" s="14">
        <f t="shared" si="12"/>
        <v>816</v>
      </c>
      <c r="R132" s="14">
        <f>Q132</f>
        <v>816</v>
      </c>
    </row>
    <row r="133" spans="1:31" s="18" customFormat="1" x14ac:dyDescent="0.3">
      <c r="A133" s="8" t="s">
        <v>65</v>
      </c>
      <c r="B133" s="8" t="s">
        <v>66</v>
      </c>
      <c r="C133" s="8">
        <f t="shared" si="38"/>
        <v>266</v>
      </c>
      <c r="D133" s="8">
        <f t="shared" si="28"/>
        <v>0</v>
      </c>
      <c r="E133" s="8">
        <f t="shared" si="30"/>
        <v>0</v>
      </c>
      <c r="F133" s="8">
        <f t="shared" si="31"/>
        <v>0</v>
      </c>
      <c r="G133" s="8">
        <f t="shared" si="32"/>
        <v>0</v>
      </c>
      <c r="H133" s="8">
        <f t="shared" si="29"/>
        <v>266</v>
      </c>
      <c r="I133" s="8">
        <f t="shared" si="33"/>
        <v>0</v>
      </c>
      <c r="J133" s="8">
        <f t="shared" si="34"/>
        <v>0</v>
      </c>
      <c r="K133" s="8">
        <f t="shared" si="35"/>
        <v>266</v>
      </c>
      <c r="L133" s="8">
        <f t="shared" si="36"/>
        <v>0</v>
      </c>
      <c r="M133" s="8">
        <f t="shared" si="39"/>
        <v>0</v>
      </c>
      <c r="N133" s="8">
        <f t="shared" si="37"/>
        <v>0</v>
      </c>
      <c r="O133" s="8"/>
      <c r="P133" s="8"/>
      <c r="Q133" s="8">
        <f t="shared" si="12"/>
        <v>532</v>
      </c>
      <c r="R133" s="8">
        <f>SUM(Q133:Q136)</f>
        <v>1396</v>
      </c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s="18" customFormat="1" x14ac:dyDescent="0.3">
      <c r="A134" s="8" t="s">
        <v>65</v>
      </c>
      <c r="B134" s="8" t="s">
        <v>67</v>
      </c>
      <c r="C134" s="8">
        <f t="shared" si="38"/>
        <v>304</v>
      </c>
      <c r="D134" s="8">
        <f t="shared" si="28"/>
        <v>0</v>
      </c>
      <c r="E134" s="8">
        <f t="shared" si="30"/>
        <v>0</v>
      </c>
      <c r="F134" s="8">
        <f t="shared" si="31"/>
        <v>0</v>
      </c>
      <c r="G134" s="8">
        <f t="shared" si="32"/>
        <v>0</v>
      </c>
      <c r="H134" s="8">
        <f t="shared" si="29"/>
        <v>0</v>
      </c>
      <c r="I134" s="8">
        <f t="shared" si="33"/>
        <v>0</v>
      </c>
      <c r="J134" s="8">
        <f t="shared" si="34"/>
        <v>0</v>
      </c>
      <c r="K134" s="8">
        <f t="shared" si="35"/>
        <v>304</v>
      </c>
      <c r="L134" s="8">
        <f t="shared" si="36"/>
        <v>0</v>
      </c>
      <c r="M134" s="8">
        <f t="shared" si="39"/>
        <v>0</v>
      </c>
      <c r="N134" s="8">
        <f t="shared" si="37"/>
        <v>0</v>
      </c>
      <c r="O134" s="8"/>
      <c r="P134" s="8"/>
      <c r="Q134" s="8">
        <f t="shared" si="12"/>
        <v>304</v>
      </c>
      <c r="R134" s="8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s="18" customFormat="1" x14ac:dyDescent="0.3">
      <c r="A135" s="8" t="s">
        <v>65</v>
      </c>
      <c r="B135" s="8" t="s">
        <v>68</v>
      </c>
      <c r="C135" s="8">
        <f t="shared" si="38"/>
        <v>254</v>
      </c>
      <c r="D135" s="8">
        <f t="shared" si="28"/>
        <v>0</v>
      </c>
      <c r="E135" s="8">
        <f t="shared" si="30"/>
        <v>0</v>
      </c>
      <c r="F135" s="8">
        <f t="shared" si="31"/>
        <v>0</v>
      </c>
      <c r="G135" s="8">
        <f t="shared" si="32"/>
        <v>0</v>
      </c>
      <c r="H135" s="8">
        <f t="shared" si="29"/>
        <v>0</v>
      </c>
      <c r="I135" s="8">
        <f t="shared" si="33"/>
        <v>254</v>
      </c>
      <c r="J135" s="8">
        <f t="shared" si="34"/>
        <v>0</v>
      </c>
      <c r="K135" s="8">
        <f t="shared" si="35"/>
        <v>0</v>
      </c>
      <c r="L135" s="8">
        <f t="shared" si="36"/>
        <v>0</v>
      </c>
      <c r="M135" s="8">
        <f t="shared" si="39"/>
        <v>0</v>
      </c>
      <c r="N135" s="8">
        <f t="shared" si="37"/>
        <v>0</v>
      </c>
      <c r="O135" s="8"/>
      <c r="P135" s="8"/>
      <c r="Q135" s="8">
        <f t="shared" si="12"/>
        <v>254</v>
      </c>
      <c r="R135" s="8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s="18" customFormat="1" ht="13.8" customHeight="1" x14ac:dyDescent="0.3">
      <c r="A136" s="8" t="s">
        <v>65</v>
      </c>
      <c r="B136" s="8" t="s">
        <v>69</v>
      </c>
      <c r="C136" s="8">
        <f t="shared" si="38"/>
        <v>306</v>
      </c>
      <c r="D136" s="8">
        <f t="shared" si="28"/>
        <v>0</v>
      </c>
      <c r="E136" s="8">
        <f t="shared" si="30"/>
        <v>0</v>
      </c>
      <c r="F136" s="8">
        <f t="shared" si="31"/>
        <v>0</v>
      </c>
      <c r="G136" s="8">
        <f t="shared" si="32"/>
        <v>0</v>
      </c>
      <c r="H136" s="8">
        <f t="shared" si="29"/>
        <v>0</v>
      </c>
      <c r="I136" s="8">
        <f t="shared" si="33"/>
        <v>306</v>
      </c>
      <c r="J136" s="8">
        <f t="shared" si="34"/>
        <v>0</v>
      </c>
      <c r="K136" s="8">
        <f t="shared" si="35"/>
        <v>0</v>
      </c>
      <c r="L136" s="8">
        <f t="shared" si="36"/>
        <v>0</v>
      </c>
      <c r="M136" s="8">
        <f t="shared" si="39"/>
        <v>0</v>
      </c>
      <c r="N136" s="8">
        <f t="shared" si="37"/>
        <v>0</v>
      </c>
      <c r="O136" s="8"/>
      <c r="P136" s="8"/>
      <c r="Q136" s="8">
        <f t="shared" si="12"/>
        <v>306</v>
      </c>
      <c r="R136" s="8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s="17" customFormat="1" x14ac:dyDescent="0.3">
      <c r="A137" s="14" t="s">
        <v>70</v>
      </c>
      <c r="B137" s="14" t="s">
        <v>71</v>
      </c>
      <c r="C137" s="14">
        <f t="shared" si="38"/>
        <v>124</v>
      </c>
      <c r="D137" s="14">
        <f t="shared" si="28"/>
        <v>0</v>
      </c>
      <c r="E137" s="14">
        <f t="shared" si="30"/>
        <v>124</v>
      </c>
      <c r="F137" s="14">
        <f t="shared" si="31"/>
        <v>0</v>
      </c>
      <c r="G137" s="14">
        <f t="shared" si="32"/>
        <v>0</v>
      </c>
      <c r="H137" s="14">
        <f t="shared" si="29"/>
        <v>124</v>
      </c>
      <c r="I137" s="14">
        <f t="shared" si="33"/>
        <v>0</v>
      </c>
      <c r="J137" s="14">
        <f t="shared" si="34"/>
        <v>248</v>
      </c>
      <c r="K137" s="14">
        <f t="shared" si="35"/>
        <v>0</v>
      </c>
      <c r="L137" s="14">
        <f t="shared" si="36"/>
        <v>0</v>
      </c>
      <c r="M137" s="14">
        <f t="shared" si="39"/>
        <v>124</v>
      </c>
      <c r="N137" s="14">
        <f t="shared" si="37"/>
        <v>0</v>
      </c>
      <c r="O137" s="14"/>
      <c r="P137" s="14"/>
      <c r="Q137" s="14">
        <f t="shared" si="12"/>
        <v>620</v>
      </c>
      <c r="R137" s="14">
        <f>SUM(Q137:Q139)</f>
        <v>1134</v>
      </c>
    </row>
    <row r="138" spans="1:31" s="17" customFormat="1" x14ac:dyDescent="0.3">
      <c r="A138" s="14" t="s">
        <v>70</v>
      </c>
      <c r="B138" s="14" t="s">
        <v>72</v>
      </c>
      <c r="C138" s="14">
        <f t="shared" si="38"/>
        <v>130</v>
      </c>
      <c r="D138" s="14">
        <f t="shared" si="28"/>
        <v>0</v>
      </c>
      <c r="E138" s="14">
        <f t="shared" si="30"/>
        <v>0</v>
      </c>
      <c r="F138" s="14">
        <f t="shared" si="31"/>
        <v>0</v>
      </c>
      <c r="G138" s="14">
        <f t="shared" si="32"/>
        <v>260</v>
      </c>
      <c r="H138" s="14">
        <f t="shared" si="29"/>
        <v>0</v>
      </c>
      <c r="I138" s="14">
        <f t="shared" si="33"/>
        <v>0</v>
      </c>
      <c r="J138" s="14">
        <f t="shared" si="34"/>
        <v>0</v>
      </c>
      <c r="K138" s="14">
        <f t="shared" si="35"/>
        <v>0</v>
      </c>
      <c r="L138" s="14">
        <f t="shared" si="36"/>
        <v>0</v>
      </c>
      <c r="M138" s="14">
        <f t="shared" si="39"/>
        <v>0</v>
      </c>
      <c r="N138" s="14">
        <f t="shared" si="37"/>
        <v>130</v>
      </c>
      <c r="O138" s="14"/>
      <c r="P138" s="14"/>
      <c r="Q138" s="14">
        <f t="shared" si="12"/>
        <v>390</v>
      </c>
      <c r="R138" s="14"/>
    </row>
    <row r="139" spans="1:31" s="17" customFormat="1" x14ac:dyDescent="0.3">
      <c r="A139" s="14" t="s">
        <v>70</v>
      </c>
      <c r="B139" s="14" t="s">
        <v>73</v>
      </c>
      <c r="C139" s="14">
        <f t="shared" si="38"/>
        <v>124</v>
      </c>
      <c r="D139" s="14">
        <f t="shared" si="28"/>
        <v>0</v>
      </c>
      <c r="E139" s="14">
        <f t="shared" si="30"/>
        <v>0</v>
      </c>
      <c r="F139" s="14">
        <f t="shared" si="31"/>
        <v>0</v>
      </c>
      <c r="G139" s="14">
        <f t="shared" si="32"/>
        <v>0</v>
      </c>
      <c r="H139" s="14">
        <f t="shared" si="29"/>
        <v>0</v>
      </c>
      <c r="I139" s="14">
        <f t="shared" si="33"/>
        <v>0</v>
      </c>
      <c r="J139" s="14">
        <f t="shared" si="34"/>
        <v>0</v>
      </c>
      <c r="K139" s="14">
        <f t="shared" si="35"/>
        <v>124</v>
      </c>
      <c r="L139" s="14">
        <f t="shared" si="36"/>
        <v>0</v>
      </c>
      <c r="M139" s="14">
        <f t="shared" si="39"/>
        <v>0</v>
      </c>
      <c r="N139" s="14">
        <f t="shared" si="37"/>
        <v>0</v>
      </c>
      <c r="O139" s="14"/>
      <c r="P139" s="14"/>
      <c r="Q139" s="14">
        <f t="shared" si="12"/>
        <v>124</v>
      </c>
      <c r="R139" s="14"/>
    </row>
    <row r="140" spans="1:31" s="18" customFormat="1" x14ac:dyDescent="0.3">
      <c r="A140" s="8" t="s">
        <v>74</v>
      </c>
      <c r="B140" s="8" t="s">
        <v>124</v>
      </c>
      <c r="C140" s="8">
        <f t="shared" si="38"/>
        <v>90</v>
      </c>
      <c r="D140" s="8">
        <f t="shared" si="28"/>
        <v>0</v>
      </c>
      <c r="E140" s="8">
        <f t="shared" si="30"/>
        <v>0</v>
      </c>
      <c r="F140" s="8">
        <f t="shared" si="31"/>
        <v>0</v>
      </c>
      <c r="G140" s="8">
        <f t="shared" si="32"/>
        <v>0</v>
      </c>
      <c r="H140" s="8">
        <f t="shared" si="29"/>
        <v>0</v>
      </c>
      <c r="I140" s="8">
        <f t="shared" si="33"/>
        <v>0</v>
      </c>
      <c r="J140" s="8">
        <f t="shared" si="34"/>
        <v>90</v>
      </c>
      <c r="K140" s="8">
        <f t="shared" si="35"/>
        <v>0</v>
      </c>
      <c r="L140" s="8">
        <f t="shared" si="36"/>
        <v>0</v>
      </c>
      <c r="M140" s="8">
        <f t="shared" si="39"/>
        <v>0</v>
      </c>
      <c r="N140" s="8">
        <f t="shared" si="37"/>
        <v>0</v>
      </c>
      <c r="O140" s="8"/>
      <c r="P140" s="8"/>
      <c r="Q140" s="8">
        <f t="shared" si="12"/>
        <v>90</v>
      </c>
      <c r="R140" s="8">
        <f>SUM(Q140:Q142)</f>
        <v>286</v>
      </c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s="18" customFormat="1" x14ac:dyDescent="0.3">
      <c r="A141" s="8" t="s">
        <v>74</v>
      </c>
      <c r="B141" s="8" t="s">
        <v>76</v>
      </c>
      <c r="C141" s="8">
        <f t="shared" si="38"/>
        <v>106</v>
      </c>
      <c r="D141" s="8">
        <f t="shared" si="28"/>
        <v>106</v>
      </c>
      <c r="E141" s="8">
        <f t="shared" si="30"/>
        <v>0</v>
      </c>
      <c r="F141" s="8">
        <f t="shared" si="31"/>
        <v>0</v>
      </c>
      <c r="G141" s="8">
        <f t="shared" si="32"/>
        <v>0</v>
      </c>
      <c r="H141" s="8">
        <f t="shared" si="29"/>
        <v>0</v>
      </c>
      <c r="I141" s="8">
        <f t="shared" si="33"/>
        <v>0</v>
      </c>
      <c r="J141" s="8">
        <f t="shared" si="34"/>
        <v>0</v>
      </c>
      <c r="K141" s="8">
        <f t="shared" si="35"/>
        <v>0</v>
      </c>
      <c r="L141" s="8">
        <f t="shared" si="36"/>
        <v>0</v>
      </c>
      <c r="M141" s="8">
        <f t="shared" si="39"/>
        <v>0</v>
      </c>
      <c r="N141" s="8">
        <f t="shared" si="37"/>
        <v>0</v>
      </c>
      <c r="O141" s="8"/>
      <c r="P141" s="8"/>
      <c r="Q141" s="8">
        <f t="shared" si="12"/>
        <v>106</v>
      </c>
      <c r="R141" s="8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s="18" customFormat="1" x14ac:dyDescent="0.3">
      <c r="A142" s="8" t="s">
        <v>74</v>
      </c>
      <c r="B142" s="8" t="s">
        <v>77</v>
      </c>
      <c r="C142" s="8">
        <f t="shared" si="38"/>
        <v>90</v>
      </c>
      <c r="D142" s="8">
        <f t="shared" si="28"/>
        <v>0</v>
      </c>
      <c r="E142" s="8">
        <f t="shared" si="30"/>
        <v>90</v>
      </c>
      <c r="F142" s="8">
        <f t="shared" si="31"/>
        <v>0</v>
      </c>
      <c r="G142" s="8">
        <f t="shared" si="32"/>
        <v>0</v>
      </c>
      <c r="H142" s="8">
        <f t="shared" si="29"/>
        <v>0</v>
      </c>
      <c r="I142" s="8">
        <f t="shared" si="33"/>
        <v>0</v>
      </c>
      <c r="J142" s="8">
        <f t="shared" si="34"/>
        <v>0</v>
      </c>
      <c r="K142" s="8">
        <f t="shared" si="35"/>
        <v>0</v>
      </c>
      <c r="L142" s="8">
        <f t="shared" si="36"/>
        <v>0</v>
      </c>
      <c r="M142" s="8">
        <f t="shared" si="39"/>
        <v>0</v>
      </c>
      <c r="N142" s="8">
        <f t="shared" si="37"/>
        <v>0</v>
      </c>
      <c r="O142" s="8"/>
      <c r="P142" s="8"/>
      <c r="Q142" s="8">
        <f t="shared" si="12"/>
        <v>90</v>
      </c>
      <c r="R142" s="8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s="17" customFormat="1" x14ac:dyDescent="0.3">
      <c r="A143" s="14" t="s">
        <v>78</v>
      </c>
      <c r="B143" s="14" t="s">
        <v>79</v>
      </c>
      <c r="C143" s="14">
        <f t="shared" si="38"/>
        <v>40</v>
      </c>
      <c r="D143" s="14">
        <f t="shared" si="28"/>
        <v>0</v>
      </c>
      <c r="E143" s="14">
        <f t="shared" si="30"/>
        <v>0</v>
      </c>
      <c r="F143" s="14">
        <f t="shared" si="31"/>
        <v>0</v>
      </c>
      <c r="G143" s="14">
        <f t="shared" si="32"/>
        <v>80</v>
      </c>
      <c r="H143" s="14">
        <f t="shared" si="29"/>
        <v>0</v>
      </c>
      <c r="I143" s="14">
        <f t="shared" si="33"/>
        <v>160</v>
      </c>
      <c r="J143" s="14">
        <f t="shared" si="34"/>
        <v>160</v>
      </c>
      <c r="K143" s="14">
        <f t="shared" si="35"/>
        <v>0</v>
      </c>
      <c r="L143" s="14">
        <f t="shared" si="36"/>
        <v>40</v>
      </c>
      <c r="M143" s="14">
        <f t="shared" si="39"/>
        <v>0</v>
      </c>
      <c r="N143" s="14">
        <f t="shared" si="37"/>
        <v>0</v>
      </c>
      <c r="O143" s="14"/>
      <c r="P143" s="14"/>
      <c r="Q143" s="14">
        <f t="shared" si="12"/>
        <v>440</v>
      </c>
      <c r="R143" s="14">
        <f>SUM(Q143:Q145)</f>
        <v>712</v>
      </c>
    </row>
    <row r="144" spans="1:31" s="17" customFormat="1" x14ac:dyDescent="0.3">
      <c r="A144" s="14" t="s">
        <v>78</v>
      </c>
      <c r="B144" s="14" t="s">
        <v>80</v>
      </c>
      <c r="C144" s="14">
        <f t="shared" si="38"/>
        <v>34</v>
      </c>
      <c r="D144" s="14">
        <f t="shared" si="28"/>
        <v>0</v>
      </c>
      <c r="E144" s="14">
        <f t="shared" si="30"/>
        <v>0</v>
      </c>
      <c r="F144" s="14">
        <f t="shared" si="31"/>
        <v>0</v>
      </c>
      <c r="G144" s="14">
        <f t="shared" si="32"/>
        <v>0</v>
      </c>
      <c r="H144" s="14">
        <f t="shared" si="29"/>
        <v>0</v>
      </c>
      <c r="I144" s="14">
        <f t="shared" si="33"/>
        <v>0</v>
      </c>
      <c r="J144" s="14">
        <f t="shared" si="34"/>
        <v>0</v>
      </c>
      <c r="K144" s="14">
        <f t="shared" si="35"/>
        <v>136</v>
      </c>
      <c r="L144" s="14">
        <f t="shared" si="36"/>
        <v>68</v>
      </c>
      <c r="M144" s="14">
        <f t="shared" si="39"/>
        <v>0</v>
      </c>
      <c r="N144" s="14">
        <f t="shared" si="37"/>
        <v>0</v>
      </c>
      <c r="O144" s="14"/>
      <c r="P144" s="14"/>
      <c r="Q144" s="14">
        <f t="shared" si="12"/>
        <v>204</v>
      </c>
      <c r="R144" s="14"/>
    </row>
    <row r="145" spans="1:31" s="17" customFormat="1" x14ac:dyDescent="0.3">
      <c r="A145" s="14" t="s">
        <v>78</v>
      </c>
      <c r="B145" s="14" t="s">
        <v>102</v>
      </c>
      <c r="C145" s="14">
        <f t="shared" si="38"/>
        <v>34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f t="shared" si="36"/>
        <v>68</v>
      </c>
      <c r="M145" s="14">
        <f t="shared" si="39"/>
        <v>0</v>
      </c>
      <c r="N145" s="14">
        <f t="shared" si="37"/>
        <v>0</v>
      </c>
      <c r="O145" s="14"/>
      <c r="P145" s="14"/>
      <c r="Q145" s="14">
        <f t="shared" si="12"/>
        <v>68</v>
      </c>
      <c r="R145" s="14"/>
    </row>
    <row r="146" spans="1:31" s="18" customFormat="1" x14ac:dyDescent="0.3">
      <c r="A146" s="8" t="s">
        <v>81</v>
      </c>
      <c r="B146" s="8" t="s">
        <v>82</v>
      </c>
      <c r="C146" s="8">
        <f t="shared" si="38"/>
        <v>248</v>
      </c>
      <c r="D146" s="8">
        <f t="shared" ref="D146:D151" si="40">C146*D65</f>
        <v>248</v>
      </c>
      <c r="E146" s="8">
        <f t="shared" ref="E146:E151" si="41">C146*E65</f>
        <v>248</v>
      </c>
      <c r="F146" s="8">
        <f t="shared" ref="F146:F151" si="42">C146*F65</f>
        <v>248</v>
      </c>
      <c r="G146" s="8">
        <f t="shared" ref="G146:G151" si="43">C146*G65</f>
        <v>496</v>
      </c>
      <c r="H146" s="8">
        <f t="shared" ref="H146:H151" si="44">C146*H65</f>
        <v>0</v>
      </c>
      <c r="I146" s="8">
        <f t="shared" ref="I146:I151" si="45">C146*I65</f>
        <v>0</v>
      </c>
      <c r="J146" s="8">
        <f t="shared" ref="J146:J151" si="46">C146*J65</f>
        <v>0</v>
      </c>
      <c r="K146" s="8">
        <f t="shared" ref="K146:K151" si="47">C146*K65</f>
        <v>0</v>
      </c>
      <c r="L146" s="8">
        <f t="shared" si="36"/>
        <v>0</v>
      </c>
      <c r="M146" s="8">
        <f t="shared" si="39"/>
        <v>0</v>
      </c>
      <c r="N146" s="8">
        <f t="shared" si="37"/>
        <v>0</v>
      </c>
      <c r="O146" s="8"/>
      <c r="P146" s="8"/>
      <c r="Q146" s="8">
        <f t="shared" si="12"/>
        <v>1240</v>
      </c>
      <c r="R146" s="8">
        <f>SUM(Q146)</f>
        <v>1240</v>
      </c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s="17" customFormat="1" x14ac:dyDescent="0.3">
      <c r="A147" s="14" t="s">
        <v>83</v>
      </c>
      <c r="B147" s="14" t="s">
        <v>84</v>
      </c>
      <c r="C147" s="14">
        <f t="shared" si="38"/>
        <v>124</v>
      </c>
      <c r="D147" s="14">
        <f t="shared" si="40"/>
        <v>0</v>
      </c>
      <c r="E147" s="14">
        <f t="shared" si="41"/>
        <v>0</v>
      </c>
      <c r="F147" s="14">
        <f t="shared" si="42"/>
        <v>0</v>
      </c>
      <c r="G147" s="14">
        <f t="shared" si="43"/>
        <v>124</v>
      </c>
      <c r="H147" s="14">
        <f t="shared" si="44"/>
        <v>0</v>
      </c>
      <c r="I147" s="14">
        <f t="shared" si="45"/>
        <v>0</v>
      </c>
      <c r="J147" s="14">
        <f t="shared" si="46"/>
        <v>124</v>
      </c>
      <c r="K147" s="14">
        <f t="shared" si="47"/>
        <v>0</v>
      </c>
      <c r="L147" s="14">
        <f t="shared" si="36"/>
        <v>0</v>
      </c>
      <c r="M147" s="14">
        <f t="shared" si="39"/>
        <v>0</v>
      </c>
      <c r="N147" s="14">
        <f t="shared" ref="N147:N151" si="48">C147*N66</f>
        <v>0</v>
      </c>
      <c r="O147" s="14"/>
      <c r="P147" s="14"/>
      <c r="Q147" s="14">
        <f t="shared" si="12"/>
        <v>248</v>
      </c>
      <c r="R147" s="14">
        <f>SUM(Q147:Q149)</f>
        <v>482</v>
      </c>
    </row>
    <row r="148" spans="1:31" s="17" customFormat="1" x14ac:dyDescent="0.3">
      <c r="A148" s="14" t="s">
        <v>83</v>
      </c>
      <c r="B148" s="14" t="s">
        <v>85</v>
      </c>
      <c r="C148" s="14">
        <f t="shared" ref="C148:C151" si="49">C67*2</f>
        <v>118</v>
      </c>
      <c r="D148" s="14">
        <f t="shared" si="40"/>
        <v>118</v>
      </c>
      <c r="E148" s="14">
        <f t="shared" si="41"/>
        <v>0</v>
      </c>
      <c r="F148" s="14">
        <f t="shared" si="42"/>
        <v>0</v>
      </c>
      <c r="G148" s="14">
        <f t="shared" si="43"/>
        <v>0</v>
      </c>
      <c r="H148" s="14">
        <f t="shared" si="44"/>
        <v>0</v>
      </c>
      <c r="I148" s="14">
        <f t="shared" si="45"/>
        <v>0</v>
      </c>
      <c r="J148" s="14">
        <f t="shared" si="46"/>
        <v>0</v>
      </c>
      <c r="K148" s="14">
        <f t="shared" si="47"/>
        <v>0</v>
      </c>
      <c r="L148" s="14">
        <f t="shared" si="36"/>
        <v>0</v>
      </c>
      <c r="M148" s="14">
        <f t="shared" si="39"/>
        <v>0</v>
      </c>
      <c r="N148" s="14">
        <f t="shared" si="48"/>
        <v>0</v>
      </c>
      <c r="O148" s="14"/>
      <c r="P148" s="14"/>
      <c r="Q148" s="14">
        <f t="shared" si="12"/>
        <v>118</v>
      </c>
      <c r="R148" s="14"/>
    </row>
    <row r="149" spans="1:31" s="17" customFormat="1" x14ac:dyDescent="0.3">
      <c r="A149" s="14" t="s">
        <v>83</v>
      </c>
      <c r="B149" s="14" t="s">
        <v>86</v>
      </c>
      <c r="C149" s="14">
        <f t="shared" si="49"/>
        <v>116</v>
      </c>
      <c r="D149" s="14">
        <f t="shared" si="40"/>
        <v>0</v>
      </c>
      <c r="E149" s="14">
        <f t="shared" si="41"/>
        <v>0</v>
      </c>
      <c r="F149" s="14">
        <f t="shared" si="42"/>
        <v>0</v>
      </c>
      <c r="G149" s="14">
        <f t="shared" si="43"/>
        <v>0</v>
      </c>
      <c r="H149" s="14">
        <f t="shared" si="44"/>
        <v>0</v>
      </c>
      <c r="I149" s="14">
        <f t="shared" si="45"/>
        <v>116</v>
      </c>
      <c r="J149" s="14">
        <f t="shared" si="46"/>
        <v>0</v>
      </c>
      <c r="K149" s="14">
        <f t="shared" si="47"/>
        <v>0</v>
      </c>
      <c r="L149" s="14">
        <f t="shared" si="36"/>
        <v>0</v>
      </c>
      <c r="M149" s="14">
        <f t="shared" si="39"/>
        <v>0</v>
      </c>
      <c r="N149" s="14">
        <f t="shared" si="48"/>
        <v>0</v>
      </c>
      <c r="O149" s="14"/>
      <c r="P149" s="14"/>
      <c r="Q149" s="14">
        <f t="shared" si="12"/>
        <v>116</v>
      </c>
      <c r="R149" s="14"/>
    </row>
    <row r="150" spans="1:31" s="18" customFormat="1" x14ac:dyDescent="0.3">
      <c r="A150" s="8" t="s">
        <v>87</v>
      </c>
      <c r="B150" s="8" t="s">
        <v>88</v>
      </c>
      <c r="C150" s="8">
        <f t="shared" si="49"/>
        <v>138</v>
      </c>
      <c r="D150" s="8">
        <f t="shared" si="40"/>
        <v>0</v>
      </c>
      <c r="E150" s="8">
        <f t="shared" si="41"/>
        <v>0</v>
      </c>
      <c r="F150" s="8">
        <f t="shared" si="42"/>
        <v>138</v>
      </c>
      <c r="G150" s="8">
        <f t="shared" si="43"/>
        <v>0</v>
      </c>
      <c r="H150" s="8">
        <f t="shared" si="44"/>
        <v>0</v>
      </c>
      <c r="I150" s="8">
        <f t="shared" si="45"/>
        <v>0</v>
      </c>
      <c r="J150" s="8">
        <f t="shared" si="46"/>
        <v>0</v>
      </c>
      <c r="K150" s="8">
        <f t="shared" si="47"/>
        <v>0</v>
      </c>
      <c r="L150" s="8">
        <f t="shared" si="36"/>
        <v>0</v>
      </c>
      <c r="M150" s="8">
        <f t="shared" si="39"/>
        <v>0</v>
      </c>
      <c r="N150" s="8">
        <f t="shared" si="48"/>
        <v>0</v>
      </c>
      <c r="O150" s="8"/>
      <c r="P150" s="8"/>
      <c r="Q150" s="8">
        <f t="shared" ref="Q150:Q151" si="50">SUM(D150:N150)</f>
        <v>138</v>
      </c>
      <c r="R150" s="8">
        <f>Q150</f>
        <v>138</v>
      </c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x14ac:dyDescent="0.3">
      <c r="A151" s="14" t="s">
        <v>136</v>
      </c>
      <c r="B151" s="6" t="s">
        <v>137</v>
      </c>
      <c r="C151" s="14">
        <f t="shared" si="49"/>
        <v>376</v>
      </c>
      <c r="D151" s="14">
        <f t="shared" si="40"/>
        <v>0</v>
      </c>
      <c r="E151" s="14">
        <f t="shared" si="41"/>
        <v>0</v>
      </c>
      <c r="F151" s="14">
        <f t="shared" si="42"/>
        <v>0</v>
      </c>
      <c r="G151" s="14">
        <f t="shared" si="43"/>
        <v>0</v>
      </c>
      <c r="H151" s="14">
        <f t="shared" si="44"/>
        <v>0</v>
      </c>
      <c r="I151" s="14">
        <f t="shared" si="45"/>
        <v>0</v>
      </c>
      <c r="J151" s="14">
        <f t="shared" si="46"/>
        <v>0</v>
      </c>
      <c r="K151" s="14">
        <f t="shared" si="47"/>
        <v>0</v>
      </c>
      <c r="L151" s="14">
        <f t="shared" si="36"/>
        <v>0</v>
      </c>
      <c r="M151" s="14">
        <f t="shared" si="39"/>
        <v>376</v>
      </c>
      <c r="N151" s="14">
        <f t="shared" si="48"/>
        <v>0</v>
      </c>
      <c r="O151" s="6"/>
      <c r="P151" s="6"/>
      <c r="Q151" s="14">
        <f t="shared" si="50"/>
        <v>376</v>
      </c>
      <c r="R151" s="14">
        <f>Q151</f>
        <v>376</v>
      </c>
    </row>
    <row r="154" spans="1:31" x14ac:dyDescent="0.3">
      <c r="A154" s="7" t="s">
        <v>11</v>
      </c>
      <c r="B154" s="7"/>
      <c r="C154" s="7"/>
      <c r="D154" s="7" t="s">
        <v>3</v>
      </c>
      <c r="E154" s="7" t="s">
        <v>4</v>
      </c>
      <c r="F154" s="7" t="s">
        <v>5</v>
      </c>
      <c r="G154" s="7" t="s">
        <v>6</v>
      </c>
      <c r="H154" s="7" t="s">
        <v>7</v>
      </c>
      <c r="I154" s="7" t="s">
        <v>8</v>
      </c>
      <c r="J154" s="7" t="s">
        <v>9</v>
      </c>
      <c r="K154" s="7" t="s">
        <v>10</v>
      </c>
      <c r="L154" s="7" t="s">
        <v>93</v>
      </c>
      <c r="M154" s="9" t="s">
        <v>117</v>
      </c>
      <c r="N154" s="9" t="s">
        <v>142</v>
      </c>
      <c r="O154" s="9" t="s">
        <v>11</v>
      </c>
      <c r="P154" s="9" t="s">
        <v>97</v>
      </c>
      <c r="Q154" s="7"/>
      <c r="R154" s="9"/>
    </row>
    <row r="155" spans="1:31" x14ac:dyDescent="0.3">
      <c r="A155" s="8"/>
      <c r="B155" s="8"/>
      <c r="C155" s="8"/>
      <c r="D155" s="8">
        <f>SUM(D83:D151)</f>
        <v>750</v>
      </c>
      <c r="E155" s="8">
        <f t="shared" ref="E155:N155" si="51">SUM(E83:E151)</f>
        <v>892</v>
      </c>
      <c r="F155" s="8">
        <f t="shared" si="51"/>
        <v>1166</v>
      </c>
      <c r="G155" s="8">
        <f t="shared" si="51"/>
        <v>1830</v>
      </c>
      <c r="H155" s="8">
        <f t="shared" si="51"/>
        <v>802</v>
      </c>
      <c r="I155" s="8">
        <f t="shared" si="51"/>
        <v>3046</v>
      </c>
      <c r="J155" s="8">
        <f t="shared" si="51"/>
        <v>2704</v>
      </c>
      <c r="K155" s="8">
        <f t="shared" si="51"/>
        <v>4664</v>
      </c>
      <c r="L155" s="8">
        <f t="shared" si="51"/>
        <v>2746</v>
      </c>
      <c r="M155" s="8">
        <f t="shared" si="51"/>
        <v>7380</v>
      </c>
      <c r="N155" s="8">
        <f t="shared" si="51"/>
        <v>722</v>
      </c>
      <c r="O155" s="8">
        <f>SUM(D155:N155)</f>
        <v>26702</v>
      </c>
      <c r="P155" s="15">
        <f>O155/O72</f>
        <v>158.9404761904762</v>
      </c>
      <c r="Q155" s="8">
        <f>SUM(Q83:Q151)</f>
        <v>26702</v>
      </c>
      <c r="R155" s="8">
        <f>SUM(R83:R151)</f>
        <v>26702</v>
      </c>
    </row>
    <row r="156" spans="1:31" x14ac:dyDescent="0.3">
      <c r="A156" s="6"/>
      <c r="B156" s="6"/>
      <c r="C156" s="6"/>
      <c r="D156" s="16">
        <f t="shared" ref="D156:O156" si="52">D155/D72</f>
        <v>150</v>
      </c>
      <c r="E156" s="16">
        <f t="shared" si="52"/>
        <v>89.2</v>
      </c>
      <c r="F156" s="16">
        <f t="shared" si="52"/>
        <v>116.6</v>
      </c>
      <c r="G156" s="16">
        <f t="shared" si="52"/>
        <v>114.375</v>
      </c>
      <c r="H156" s="16">
        <f t="shared" si="52"/>
        <v>160.4</v>
      </c>
      <c r="I156" s="16">
        <f t="shared" si="52"/>
        <v>138.45454545454547</v>
      </c>
      <c r="J156" s="16">
        <f t="shared" si="52"/>
        <v>142.31578947368422</v>
      </c>
      <c r="K156" s="16">
        <f t="shared" si="52"/>
        <v>172.74074074074073</v>
      </c>
      <c r="L156" s="16">
        <f t="shared" si="52"/>
        <v>161.52941176470588</v>
      </c>
      <c r="M156" s="16">
        <f t="shared" si="52"/>
        <v>199.45945945945945</v>
      </c>
      <c r="N156" s="16" t="e">
        <f t="shared" si="52"/>
        <v>#DIV/0!</v>
      </c>
      <c r="O156" s="16">
        <f t="shared" si="52"/>
        <v>158.9404761904762</v>
      </c>
      <c r="P156" s="6" t="s">
        <v>97</v>
      </c>
      <c r="Q156" s="6"/>
      <c r="R156" s="6"/>
    </row>
    <row r="159" spans="1:31" x14ac:dyDescent="0.3">
      <c r="A159" s="7" t="s">
        <v>0</v>
      </c>
      <c r="B159" s="7" t="s">
        <v>90</v>
      </c>
      <c r="C159" s="7" t="s">
        <v>11</v>
      </c>
      <c r="D159" s="7" t="s">
        <v>2</v>
      </c>
    </row>
    <row r="160" spans="1:31" x14ac:dyDescent="0.3">
      <c r="A160" s="8" t="s">
        <v>13</v>
      </c>
      <c r="B160" s="8">
        <f>R2</f>
        <v>4</v>
      </c>
      <c r="C160" s="8">
        <f>SUM(O2:O5)</f>
        <v>12</v>
      </c>
      <c r="D160" s="8">
        <f>R83</f>
        <v>156</v>
      </c>
    </row>
    <row r="161" spans="1:4" x14ac:dyDescent="0.3">
      <c r="A161" s="14" t="s">
        <v>17</v>
      </c>
      <c r="B161" s="14">
        <f>R6</f>
        <v>1</v>
      </c>
      <c r="C161" s="14">
        <f>O6</f>
        <v>2</v>
      </c>
      <c r="D161" s="14">
        <f>R87</f>
        <v>1128</v>
      </c>
    </row>
    <row r="162" spans="1:4" x14ac:dyDescent="0.3">
      <c r="A162" s="8" t="s">
        <v>129</v>
      </c>
      <c r="B162" s="8">
        <f>R7</f>
        <v>1</v>
      </c>
      <c r="C162" s="8">
        <f>R7</f>
        <v>1</v>
      </c>
      <c r="D162" s="8">
        <f>R88</f>
        <v>148</v>
      </c>
    </row>
    <row r="163" spans="1:4" x14ac:dyDescent="0.3">
      <c r="A163" s="14" t="s">
        <v>19</v>
      </c>
      <c r="B163" s="14">
        <f>R8</f>
        <v>4</v>
      </c>
      <c r="C163" s="14">
        <f>SUM(O8:O11)</f>
        <v>7</v>
      </c>
      <c r="D163" s="14">
        <f>R89</f>
        <v>1962</v>
      </c>
    </row>
    <row r="164" spans="1:4" x14ac:dyDescent="0.3">
      <c r="A164" s="8" t="s">
        <v>22</v>
      </c>
      <c r="B164" s="8">
        <f>R12</f>
        <v>5</v>
      </c>
      <c r="C164" s="8">
        <f>SUM(O12:O16)</f>
        <v>15</v>
      </c>
      <c r="D164" s="8">
        <f>R93</f>
        <v>1288</v>
      </c>
    </row>
    <row r="165" spans="1:4" x14ac:dyDescent="0.3">
      <c r="A165" s="14" t="s">
        <v>125</v>
      </c>
      <c r="B165" s="14">
        <f>R17</f>
        <v>1</v>
      </c>
      <c r="C165" s="14">
        <f>O17</f>
        <v>1</v>
      </c>
      <c r="D165" s="14">
        <f>R98</f>
        <v>364</v>
      </c>
    </row>
    <row r="166" spans="1:4" x14ac:dyDescent="0.3">
      <c r="A166" s="8" t="s">
        <v>28</v>
      </c>
      <c r="B166" s="8">
        <f>R18</f>
        <v>2</v>
      </c>
      <c r="C166" s="8">
        <f>SUM(O18:O19)</f>
        <v>4</v>
      </c>
      <c r="D166" s="8">
        <f>R99</f>
        <v>1572</v>
      </c>
    </row>
    <row r="167" spans="1:4" x14ac:dyDescent="0.3">
      <c r="A167" s="14" t="s">
        <v>131</v>
      </c>
      <c r="B167" s="14">
        <f>R20</f>
        <v>1</v>
      </c>
      <c r="C167" s="14">
        <f>O20</f>
        <v>1</v>
      </c>
      <c r="D167" s="14">
        <f>R101</f>
        <v>236</v>
      </c>
    </row>
    <row r="168" spans="1:4" x14ac:dyDescent="0.3">
      <c r="A168" s="8" t="s">
        <v>30</v>
      </c>
      <c r="B168" s="8">
        <f>R21</f>
        <v>5</v>
      </c>
      <c r="C168" s="8">
        <f>SUM(O21:O25)</f>
        <v>9</v>
      </c>
      <c r="D168" s="8">
        <f>R102</f>
        <v>906</v>
      </c>
    </row>
    <row r="169" spans="1:4" x14ac:dyDescent="0.3">
      <c r="A169" s="14" t="s">
        <v>134</v>
      </c>
      <c r="B169" s="14">
        <f>R26</f>
        <v>1</v>
      </c>
      <c r="C169" s="14">
        <f>O26</f>
        <v>1</v>
      </c>
      <c r="D169" s="14">
        <f t="shared" ref="D169:D175" si="53">R107</f>
        <v>800</v>
      </c>
    </row>
    <row r="170" spans="1:4" x14ac:dyDescent="0.3">
      <c r="A170" s="8" t="s">
        <v>36</v>
      </c>
      <c r="B170" s="8">
        <f>R27</f>
        <v>1</v>
      </c>
      <c r="C170" s="8">
        <f>O27</f>
        <v>1</v>
      </c>
      <c r="D170" s="8">
        <f t="shared" si="53"/>
        <v>726</v>
      </c>
    </row>
    <row r="171" spans="1:4" x14ac:dyDescent="0.3">
      <c r="A171" s="14" t="s">
        <v>96</v>
      </c>
      <c r="B171" s="14">
        <f>R28</f>
        <v>1</v>
      </c>
      <c r="C171" s="14">
        <f>O28</f>
        <v>1</v>
      </c>
      <c r="D171" s="14">
        <f t="shared" si="53"/>
        <v>186</v>
      </c>
    </row>
    <row r="172" spans="1:4" x14ac:dyDescent="0.3">
      <c r="A172" s="8" t="s">
        <v>122</v>
      </c>
      <c r="B172" s="8">
        <f>O29</f>
        <v>1</v>
      </c>
      <c r="C172" s="8">
        <f>R29</f>
        <v>1</v>
      </c>
      <c r="D172" s="8">
        <f t="shared" si="53"/>
        <v>348</v>
      </c>
    </row>
    <row r="173" spans="1:4" x14ac:dyDescent="0.3">
      <c r="A173" s="14" t="s">
        <v>99</v>
      </c>
      <c r="B173" s="14">
        <f>R30</f>
        <v>1</v>
      </c>
      <c r="C173" s="14">
        <f>O30</f>
        <v>1</v>
      </c>
      <c r="D173" s="14">
        <f t="shared" si="53"/>
        <v>418</v>
      </c>
    </row>
    <row r="174" spans="1:4" x14ac:dyDescent="0.3">
      <c r="A174" s="8" t="s">
        <v>38</v>
      </c>
      <c r="B174" s="8">
        <f>O31</f>
        <v>1</v>
      </c>
      <c r="C174" s="8">
        <f>R31</f>
        <v>1</v>
      </c>
      <c r="D174" s="8">
        <f t="shared" si="53"/>
        <v>516</v>
      </c>
    </row>
    <row r="175" spans="1:4" x14ac:dyDescent="0.3">
      <c r="A175" s="14" t="s">
        <v>44</v>
      </c>
      <c r="B175" s="14">
        <f>R32</f>
        <v>6</v>
      </c>
      <c r="C175" s="14">
        <f>SUM(O32:O37)</f>
        <v>32</v>
      </c>
      <c r="D175" s="14">
        <f t="shared" si="53"/>
        <v>1768</v>
      </c>
    </row>
    <row r="176" spans="1:4" x14ac:dyDescent="0.3">
      <c r="A176" s="8" t="s">
        <v>40</v>
      </c>
      <c r="B176" s="8">
        <f>R38</f>
        <v>3</v>
      </c>
      <c r="C176" s="8">
        <f>SUM(O38:O40)</f>
        <v>8</v>
      </c>
      <c r="D176" s="8">
        <f>R119</f>
        <v>1150</v>
      </c>
    </row>
    <row r="177" spans="1:4" x14ac:dyDescent="0.3">
      <c r="A177" s="14" t="s">
        <v>50</v>
      </c>
      <c r="B177" s="14">
        <f>R41</f>
        <v>1</v>
      </c>
      <c r="C177" s="14">
        <f>O41</f>
        <v>1</v>
      </c>
      <c r="D177" s="14">
        <f>R122</f>
        <v>840</v>
      </c>
    </row>
    <row r="178" spans="1:4" x14ac:dyDescent="0.3">
      <c r="A178" s="8" t="s">
        <v>52</v>
      </c>
      <c r="B178" s="8">
        <f>R42</f>
        <v>1</v>
      </c>
      <c r="C178" s="8">
        <f>O42</f>
        <v>1</v>
      </c>
      <c r="D178" s="8">
        <f>R123</f>
        <v>282</v>
      </c>
    </row>
    <row r="179" spans="1:4" x14ac:dyDescent="0.3">
      <c r="A179" s="14" t="s">
        <v>91</v>
      </c>
      <c r="B179" s="14">
        <f>R43</f>
        <v>1</v>
      </c>
      <c r="C179" s="14">
        <f>O43</f>
        <v>9</v>
      </c>
      <c r="D179" s="14">
        <f>R124</f>
        <v>1440</v>
      </c>
    </row>
    <row r="180" spans="1:4" x14ac:dyDescent="0.3">
      <c r="A180" s="8" t="s">
        <v>120</v>
      </c>
      <c r="B180" s="8">
        <f>R44</f>
        <v>1</v>
      </c>
      <c r="C180" s="8">
        <f>M44</f>
        <v>2</v>
      </c>
      <c r="D180" s="8">
        <f>R125</f>
        <v>2088</v>
      </c>
    </row>
    <row r="181" spans="1:4" x14ac:dyDescent="0.3">
      <c r="A181" s="14" t="s">
        <v>56</v>
      </c>
      <c r="B181" s="14">
        <f>R45</f>
        <v>3</v>
      </c>
      <c r="C181" s="14">
        <f>SUM(O45:O46)</f>
        <v>8</v>
      </c>
      <c r="D181" s="14">
        <f>R126</f>
        <v>750</v>
      </c>
    </row>
    <row r="182" spans="1:4" x14ac:dyDescent="0.3">
      <c r="A182" s="8" t="s">
        <v>59</v>
      </c>
      <c r="B182" s="8">
        <f>R48</f>
        <v>3</v>
      </c>
      <c r="C182" s="8">
        <f>SUM(O48:O50)</f>
        <v>4</v>
      </c>
      <c r="D182" s="8">
        <f>R129</f>
        <v>1050</v>
      </c>
    </row>
    <row r="183" spans="1:4" x14ac:dyDescent="0.3">
      <c r="A183" s="14" t="s">
        <v>92</v>
      </c>
      <c r="B183" s="14">
        <f>R51</f>
        <v>1</v>
      </c>
      <c r="C183" s="14">
        <f>O51</f>
        <v>3</v>
      </c>
      <c r="D183" s="14">
        <f>R132</f>
        <v>816</v>
      </c>
    </row>
    <row r="184" spans="1:4" x14ac:dyDescent="0.3">
      <c r="A184" s="8" t="s">
        <v>65</v>
      </c>
      <c r="B184" s="8">
        <f>R52</f>
        <v>4</v>
      </c>
      <c r="C184" s="8">
        <f>SUM(O52:O55)</f>
        <v>5</v>
      </c>
      <c r="D184" s="8">
        <f>R133</f>
        <v>1396</v>
      </c>
    </row>
    <row r="185" spans="1:4" x14ac:dyDescent="0.3">
      <c r="A185" s="14" t="s">
        <v>70</v>
      </c>
      <c r="B185" s="14">
        <f>R56</f>
        <v>3</v>
      </c>
      <c r="C185" s="14">
        <f>SUM(O56:O58)</f>
        <v>9</v>
      </c>
      <c r="D185" s="14">
        <f>R137</f>
        <v>1134</v>
      </c>
    </row>
    <row r="186" spans="1:4" x14ac:dyDescent="0.3">
      <c r="A186" s="8" t="s">
        <v>74</v>
      </c>
      <c r="B186" s="8">
        <f>R59</f>
        <v>3</v>
      </c>
      <c r="C186" s="8">
        <f>SUM(O59:O61)</f>
        <v>3</v>
      </c>
      <c r="D186" s="8">
        <f>R140</f>
        <v>286</v>
      </c>
    </row>
    <row r="187" spans="1:4" x14ac:dyDescent="0.3">
      <c r="A187" s="14" t="s">
        <v>78</v>
      </c>
      <c r="B187" s="14">
        <f>R62</f>
        <v>3</v>
      </c>
      <c r="C187" s="14">
        <f>SUM(O62:O64)</f>
        <v>19</v>
      </c>
      <c r="D187" s="14">
        <f>R143</f>
        <v>712</v>
      </c>
    </row>
    <row r="188" spans="1:4" x14ac:dyDescent="0.3">
      <c r="A188" s="8" t="s">
        <v>81</v>
      </c>
      <c r="B188" s="8">
        <f>R65</f>
        <v>1</v>
      </c>
      <c r="C188" s="8">
        <f>O65</f>
        <v>5</v>
      </c>
      <c r="D188" s="8">
        <f>R146</f>
        <v>1240</v>
      </c>
    </row>
    <row r="189" spans="1:4" x14ac:dyDescent="0.3">
      <c r="A189" s="14" t="s">
        <v>83</v>
      </c>
      <c r="B189" s="14">
        <f>R66</f>
        <v>3</v>
      </c>
      <c r="C189" s="14">
        <f>SUM(O66:O68)</f>
        <v>4</v>
      </c>
      <c r="D189" s="14">
        <f>R147</f>
        <v>482</v>
      </c>
    </row>
    <row r="190" spans="1:4" x14ac:dyDescent="0.3">
      <c r="A190" s="8" t="s">
        <v>87</v>
      </c>
      <c r="B190" s="8">
        <f>R69</f>
        <v>1</v>
      </c>
      <c r="C190" s="8">
        <f>O69</f>
        <v>1</v>
      </c>
      <c r="D190" s="8">
        <f>R150</f>
        <v>138</v>
      </c>
    </row>
    <row r="191" spans="1:4" x14ac:dyDescent="0.3">
      <c r="A191" s="14" t="s">
        <v>136</v>
      </c>
      <c r="B191" s="14">
        <f>R70</f>
        <v>1</v>
      </c>
      <c r="C191" s="14">
        <f>O70</f>
        <v>1</v>
      </c>
      <c r="D191" s="14">
        <f>R149</f>
        <v>0</v>
      </c>
    </row>
    <row r="192" spans="1:4" x14ac:dyDescent="0.3">
      <c r="A192" s="20"/>
      <c r="B192" s="20">
        <f>SUM(B160:B191)</f>
        <v>69</v>
      </c>
      <c r="C192" s="20">
        <f>SUM(C160:C191)</f>
        <v>173</v>
      </c>
      <c r="D192" s="20">
        <f>SUM(D160:D191)</f>
        <v>26326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AEAB-3835-4342-9FF8-FBE02F12A238}">
  <dimension ref="A1:J240"/>
  <sheetViews>
    <sheetView topLeftCell="A13" workbookViewId="0">
      <selection activeCell="L13" sqref="L13"/>
    </sheetView>
  </sheetViews>
  <sheetFormatPr defaultRowHeight="14.4" x14ac:dyDescent="0.3"/>
  <cols>
    <col min="1" max="1" width="13.109375" customWidth="1"/>
    <col min="2" max="2" width="30.77734375" customWidth="1"/>
    <col min="3" max="11" width="9.77734375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>
        <v>2023</v>
      </c>
      <c r="E1" s="7">
        <v>2024</v>
      </c>
      <c r="F1" s="7">
        <v>2025</v>
      </c>
      <c r="G1" s="7">
        <v>2026</v>
      </c>
      <c r="H1" s="7" t="s">
        <v>11</v>
      </c>
      <c r="I1" s="7" t="s">
        <v>12</v>
      </c>
      <c r="J1" s="7" t="s">
        <v>11</v>
      </c>
    </row>
    <row r="2" spans="1:10" x14ac:dyDescent="0.3">
      <c r="A2" s="8" t="s">
        <v>104</v>
      </c>
      <c r="B2" s="8" t="s">
        <v>106</v>
      </c>
      <c r="C2" s="8">
        <v>120</v>
      </c>
      <c r="D2" s="8">
        <v>1</v>
      </c>
      <c r="E2" s="8">
        <v>1</v>
      </c>
      <c r="F2" s="8">
        <v>1</v>
      </c>
      <c r="G2" s="8"/>
      <c r="H2" s="8">
        <f>SUM(D2:G2)</f>
        <v>3</v>
      </c>
      <c r="I2" s="8">
        <f t="shared" ref="I2:I7" si="0">C2*H2</f>
        <v>360</v>
      </c>
      <c r="J2" s="8">
        <f t="shared" ref="J2:J7" si="1">2*I2</f>
        <v>720</v>
      </c>
    </row>
    <row r="3" spans="1:10" x14ac:dyDescent="0.3">
      <c r="A3" s="6" t="s">
        <v>112</v>
      </c>
      <c r="B3" s="6" t="s">
        <v>113</v>
      </c>
      <c r="C3" s="6">
        <v>234</v>
      </c>
      <c r="D3" s="6"/>
      <c r="E3" s="6"/>
      <c r="F3" s="6">
        <v>1</v>
      </c>
      <c r="G3" s="6"/>
      <c r="H3" s="14">
        <f t="shared" ref="H3:H13" si="2">SUM(D3:G3)</f>
        <v>1</v>
      </c>
      <c r="I3" s="6">
        <f t="shared" si="0"/>
        <v>234</v>
      </c>
      <c r="J3" s="6">
        <f t="shared" si="1"/>
        <v>468</v>
      </c>
    </row>
    <row r="4" spans="1:10" x14ac:dyDescent="0.3">
      <c r="A4" s="8" t="s">
        <v>19</v>
      </c>
      <c r="B4" s="8" t="s">
        <v>139</v>
      </c>
      <c r="C4" s="8">
        <v>142</v>
      </c>
      <c r="D4" s="8"/>
      <c r="E4" s="8"/>
      <c r="F4" s="8"/>
      <c r="G4" s="8"/>
      <c r="H4" s="8">
        <f>SUM(D4:G4)</f>
        <v>0</v>
      </c>
      <c r="I4" s="8">
        <f t="shared" si="0"/>
        <v>0</v>
      </c>
      <c r="J4" s="8">
        <f t="shared" si="1"/>
        <v>0</v>
      </c>
    </row>
    <row r="5" spans="1:10" x14ac:dyDescent="0.3">
      <c r="A5" s="14" t="s">
        <v>19</v>
      </c>
      <c r="B5" s="14" t="s">
        <v>107</v>
      </c>
      <c r="C5" s="14">
        <v>142</v>
      </c>
      <c r="D5" s="14">
        <v>1</v>
      </c>
      <c r="E5" s="14"/>
      <c r="F5" s="14">
        <v>1</v>
      </c>
      <c r="G5" s="14">
        <v>3</v>
      </c>
      <c r="H5" s="14">
        <f t="shared" si="2"/>
        <v>5</v>
      </c>
      <c r="I5" s="14">
        <f t="shared" si="0"/>
        <v>710</v>
      </c>
      <c r="J5" s="14">
        <f t="shared" si="1"/>
        <v>1420</v>
      </c>
    </row>
    <row r="6" spans="1:10" x14ac:dyDescent="0.3">
      <c r="A6" s="8" t="s">
        <v>22</v>
      </c>
      <c r="B6" s="21" t="s">
        <v>138</v>
      </c>
      <c r="C6" s="8">
        <v>47</v>
      </c>
      <c r="D6" s="8"/>
      <c r="E6" s="8"/>
      <c r="F6" s="8"/>
      <c r="G6" s="8">
        <v>2</v>
      </c>
      <c r="H6" s="8">
        <f t="shared" si="2"/>
        <v>2</v>
      </c>
      <c r="I6" s="8">
        <f>C6*H6</f>
        <v>94</v>
      </c>
      <c r="J6" s="8">
        <f t="shared" ref="J6:J13" si="3">2*I6</f>
        <v>188</v>
      </c>
    </row>
    <row r="7" spans="1:10" x14ac:dyDescent="0.3">
      <c r="A7" s="14" t="s">
        <v>28</v>
      </c>
      <c r="B7" s="14" t="s">
        <v>105</v>
      </c>
      <c r="C7" s="14">
        <v>182</v>
      </c>
      <c r="D7" s="14">
        <v>1</v>
      </c>
      <c r="E7" s="14"/>
      <c r="F7" s="14">
        <v>1</v>
      </c>
      <c r="G7" s="14">
        <v>1</v>
      </c>
      <c r="H7" s="14">
        <f t="shared" si="2"/>
        <v>3</v>
      </c>
      <c r="I7" s="14">
        <f t="shared" si="0"/>
        <v>546</v>
      </c>
      <c r="J7" s="14">
        <f t="shared" si="1"/>
        <v>1092</v>
      </c>
    </row>
    <row r="8" spans="1:10" x14ac:dyDescent="0.3">
      <c r="A8" s="8" t="s">
        <v>140</v>
      </c>
      <c r="B8" s="21" t="s">
        <v>141</v>
      </c>
      <c r="C8" s="8">
        <v>116</v>
      </c>
      <c r="D8" s="8"/>
      <c r="E8" s="8"/>
      <c r="F8" s="8"/>
      <c r="G8" s="8">
        <v>1</v>
      </c>
      <c r="H8" s="8">
        <f t="shared" si="2"/>
        <v>1</v>
      </c>
      <c r="I8" s="8">
        <f t="shared" ref="I8:I13" si="4">C8*H8</f>
        <v>116</v>
      </c>
      <c r="J8" s="8">
        <f t="shared" si="3"/>
        <v>232</v>
      </c>
    </row>
    <row r="9" spans="1:10" x14ac:dyDescent="0.3">
      <c r="A9" s="14" t="s">
        <v>74</v>
      </c>
      <c r="B9" s="14" t="s">
        <v>103</v>
      </c>
      <c r="C9" s="14">
        <v>42</v>
      </c>
      <c r="D9" s="14">
        <v>1</v>
      </c>
      <c r="E9" s="14">
        <v>1</v>
      </c>
      <c r="F9" s="14">
        <v>1</v>
      </c>
      <c r="G9" s="14">
        <v>1</v>
      </c>
      <c r="H9" s="14">
        <f t="shared" si="2"/>
        <v>4</v>
      </c>
      <c r="I9" s="14">
        <f t="shared" si="4"/>
        <v>168</v>
      </c>
      <c r="J9" s="14">
        <f t="shared" si="3"/>
        <v>336</v>
      </c>
    </row>
    <row r="10" spans="1:10" x14ac:dyDescent="0.3">
      <c r="A10" s="8" t="s">
        <v>114</v>
      </c>
      <c r="B10" s="22" t="s">
        <v>115</v>
      </c>
      <c r="C10" s="8">
        <v>131</v>
      </c>
      <c r="D10" s="8"/>
      <c r="E10" s="8"/>
      <c r="F10" s="8">
        <v>1</v>
      </c>
      <c r="G10" s="8"/>
      <c r="H10" s="8">
        <f t="shared" si="2"/>
        <v>1</v>
      </c>
      <c r="I10" s="8">
        <f t="shared" si="4"/>
        <v>131</v>
      </c>
      <c r="J10" s="8">
        <f t="shared" si="3"/>
        <v>262</v>
      </c>
    </row>
    <row r="11" spans="1:10" x14ac:dyDescent="0.3">
      <c r="A11" s="14" t="s">
        <v>108</v>
      </c>
      <c r="B11" s="14" t="s">
        <v>109</v>
      </c>
      <c r="C11" s="14">
        <v>286</v>
      </c>
      <c r="D11" s="14">
        <v>1</v>
      </c>
      <c r="E11" s="14"/>
      <c r="F11" s="14">
        <v>1</v>
      </c>
      <c r="G11" s="14"/>
      <c r="H11" s="14">
        <f t="shared" si="2"/>
        <v>2</v>
      </c>
      <c r="I11" s="14">
        <f t="shared" si="4"/>
        <v>572</v>
      </c>
      <c r="J11" s="14">
        <f t="shared" si="3"/>
        <v>1144</v>
      </c>
    </row>
    <row r="12" spans="1:10" x14ac:dyDescent="0.3">
      <c r="A12" s="8" t="s">
        <v>110</v>
      </c>
      <c r="B12" s="8" t="s">
        <v>116</v>
      </c>
      <c r="C12" s="8">
        <v>133</v>
      </c>
      <c r="D12" s="8"/>
      <c r="E12" s="8"/>
      <c r="F12" s="8">
        <v>1</v>
      </c>
      <c r="G12" s="8"/>
      <c r="H12" s="8">
        <f t="shared" si="2"/>
        <v>1</v>
      </c>
      <c r="I12" s="8">
        <f t="shared" si="4"/>
        <v>133</v>
      </c>
      <c r="J12" s="8">
        <f t="shared" si="3"/>
        <v>266</v>
      </c>
    </row>
    <row r="13" spans="1:10" x14ac:dyDescent="0.3">
      <c r="A13" s="14" t="s">
        <v>110</v>
      </c>
      <c r="B13" s="14" t="s">
        <v>111</v>
      </c>
      <c r="C13" s="14">
        <v>131</v>
      </c>
      <c r="D13" s="14"/>
      <c r="E13" s="14">
        <v>1</v>
      </c>
      <c r="F13" s="14"/>
      <c r="G13" s="14"/>
      <c r="H13" s="14">
        <f t="shared" si="2"/>
        <v>1</v>
      </c>
      <c r="I13" s="14">
        <f t="shared" si="4"/>
        <v>131</v>
      </c>
      <c r="J13" s="14">
        <f t="shared" si="3"/>
        <v>262</v>
      </c>
    </row>
    <row r="17" spans="1:10" x14ac:dyDescent="0.3">
      <c r="A17" s="10"/>
      <c r="B17" s="10"/>
      <c r="C17" s="10"/>
      <c r="D17" s="9">
        <f>SUM(D2:D16)</f>
        <v>5</v>
      </c>
      <c r="E17" s="9">
        <f>SUM(E2:E16)</f>
        <v>3</v>
      </c>
      <c r="F17" s="9">
        <f>SUM(F2:F16)</f>
        <v>8</v>
      </c>
      <c r="G17" s="9">
        <f>SUM(G2:G16)</f>
        <v>8</v>
      </c>
      <c r="H17" s="9">
        <f>SUM(D17:G17)</f>
        <v>24</v>
      </c>
      <c r="I17" s="9">
        <f>SUM(I2:I13)</f>
        <v>3195</v>
      </c>
      <c r="J17" s="9">
        <f>SUM(J2:J13)</f>
        <v>6390</v>
      </c>
    </row>
    <row r="18" spans="1:10" x14ac:dyDescent="0.3">
      <c r="A18" s="8" t="s">
        <v>97</v>
      </c>
      <c r="B18" s="8"/>
      <c r="C18" s="8"/>
      <c r="D18" s="8"/>
      <c r="E18" s="8"/>
      <c r="F18" s="8"/>
      <c r="G18" s="8"/>
      <c r="H18" s="8"/>
      <c r="I18" s="8">
        <f>I17/H17</f>
        <v>133.125</v>
      </c>
      <c r="J18" s="8">
        <f>J17/H17</f>
        <v>266.25</v>
      </c>
    </row>
    <row r="21" spans="1:10" x14ac:dyDescent="0.3">
      <c r="A21" s="7" t="s">
        <v>0</v>
      </c>
      <c r="B21" s="7" t="s">
        <v>1</v>
      </c>
      <c r="C21" s="7" t="s">
        <v>2</v>
      </c>
      <c r="D21" s="7">
        <v>2023</v>
      </c>
      <c r="E21" s="7">
        <v>2024</v>
      </c>
      <c r="F21" s="7">
        <v>2025</v>
      </c>
      <c r="G21" s="7">
        <v>2026</v>
      </c>
      <c r="H21" s="9"/>
      <c r="I21" s="7"/>
      <c r="J21" s="7" t="s">
        <v>11</v>
      </c>
    </row>
    <row r="22" spans="1:10" x14ac:dyDescent="0.3">
      <c r="A22" s="8" t="s">
        <v>104</v>
      </c>
      <c r="B22" s="8" t="s">
        <v>106</v>
      </c>
      <c r="C22" s="8">
        <f t="shared" ref="C22:C33" si="5">2*C2</f>
        <v>240</v>
      </c>
      <c r="D22" s="8">
        <f>D2*C22</f>
        <v>240</v>
      </c>
      <c r="E22" s="8">
        <f>E2*C22</f>
        <v>240</v>
      </c>
      <c r="F22" s="8">
        <f t="shared" ref="F22:G24" si="6">F2*C22</f>
        <v>240</v>
      </c>
      <c r="G22" s="8">
        <f t="shared" si="6"/>
        <v>0</v>
      </c>
      <c r="H22" s="8"/>
      <c r="I22" s="8"/>
      <c r="J22" s="8">
        <f>SUM(D22:G22)</f>
        <v>720</v>
      </c>
    </row>
    <row r="23" spans="1:10" x14ac:dyDescent="0.3">
      <c r="A23" s="6" t="s">
        <v>112</v>
      </c>
      <c r="B23" s="6" t="s">
        <v>113</v>
      </c>
      <c r="C23" s="6">
        <f t="shared" si="5"/>
        <v>468</v>
      </c>
      <c r="D23" s="6">
        <f t="shared" ref="D23" si="7">D3*C23</f>
        <v>0</v>
      </c>
      <c r="E23" s="6">
        <f>E3*C23</f>
        <v>0</v>
      </c>
      <c r="F23" s="6">
        <f t="shared" si="6"/>
        <v>468</v>
      </c>
      <c r="G23" s="6">
        <f t="shared" si="6"/>
        <v>0</v>
      </c>
      <c r="H23" s="6"/>
      <c r="I23" s="6"/>
      <c r="J23" s="14">
        <f t="shared" ref="J23:J33" si="8">SUM(D23:G23)</f>
        <v>468</v>
      </c>
    </row>
    <row r="24" spans="1:10" x14ac:dyDescent="0.3">
      <c r="A24" s="8" t="s">
        <v>19</v>
      </c>
      <c r="B24" s="8" t="s">
        <v>139</v>
      </c>
      <c r="C24" s="8">
        <f t="shared" si="5"/>
        <v>284</v>
      </c>
      <c r="D24" s="8">
        <f>D4*C24</f>
        <v>0</v>
      </c>
      <c r="E24" s="8">
        <f>E4*C24</f>
        <v>0</v>
      </c>
      <c r="F24" s="8">
        <f t="shared" si="6"/>
        <v>0</v>
      </c>
      <c r="G24" s="8">
        <f t="shared" si="6"/>
        <v>0</v>
      </c>
      <c r="H24" s="8"/>
      <c r="I24" s="8"/>
      <c r="J24" s="8">
        <f>SUM(D24:G24)</f>
        <v>0</v>
      </c>
    </row>
    <row r="25" spans="1:10" x14ac:dyDescent="0.3">
      <c r="A25" s="14" t="s">
        <v>19</v>
      </c>
      <c r="B25" s="14" t="s">
        <v>107</v>
      </c>
      <c r="C25" s="14">
        <f t="shared" si="5"/>
        <v>284</v>
      </c>
      <c r="D25" s="14">
        <f t="shared" ref="D25" si="9">D5*C25</f>
        <v>284</v>
      </c>
      <c r="E25" s="14">
        <f>E5*C25</f>
        <v>0</v>
      </c>
      <c r="F25" s="14">
        <f t="shared" ref="F25:G25" si="10">F5*C25</f>
        <v>284</v>
      </c>
      <c r="G25" s="14">
        <f t="shared" si="10"/>
        <v>852</v>
      </c>
      <c r="H25" s="14"/>
      <c r="I25" s="14"/>
      <c r="J25" s="14">
        <f t="shared" si="8"/>
        <v>1420</v>
      </c>
    </row>
    <row r="26" spans="1:10" x14ac:dyDescent="0.3">
      <c r="A26" s="8" t="s">
        <v>22</v>
      </c>
      <c r="B26" s="8" t="s">
        <v>138</v>
      </c>
      <c r="C26" s="8">
        <f t="shared" si="5"/>
        <v>94</v>
      </c>
      <c r="D26" s="8">
        <f>2*D6</f>
        <v>0</v>
      </c>
      <c r="E26" s="8">
        <f>2*E6</f>
        <v>0</v>
      </c>
      <c r="F26" s="8">
        <f>2*F6</f>
        <v>0</v>
      </c>
      <c r="G26" s="8">
        <f>G6*C26</f>
        <v>188</v>
      </c>
      <c r="H26" s="8"/>
      <c r="I26" s="8"/>
      <c r="J26" s="8">
        <f t="shared" si="8"/>
        <v>188</v>
      </c>
    </row>
    <row r="27" spans="1:10" x14ac:dyDescent="0.3">
      <c r="A27" s="14" t="s">
        <v>28</v>
      </c>
      <c r="B27" s="14" t="s">
        <v>105</v>
      </c>
      <c r="C27" s="14">
        <f t="shared" si="5"/>
        <v>364</v>
      </c>
      <c r="D27" s="14">
        <f t="shared" ref="D27" si="11">D7*C27</f>
        <v>364</v>
      </c>
      <c r="E27" s="14">
        <f t="shared" ref="E27:E33" si="12">E7*C27</f>
        <v>0</v>
      </c>
      <c r="F27" s="14">
        <f>F7*C27</f>
        <v>364</v>
      </c>
      <c r="G27" s="14">
        <f>G7*D27</f>
        <v>364</v>
      </c>
      <c r="H27" s="14"/>
      <c r="I27" s="14"/>
      <c r="J27" s="14">
        <f t="shared" si="8"/>
        <v>1092</v>
      </c>
    </row>
    <row r="28" spans="1:10" x14ac:dyDescent="0.3">
      <c r="A28" s="8" t="s">
        <v>140</v>
      </c>
      <c r="B28" s="8" t="s">
        <v>141</v>
      </c>
      <c r="C28" s="8">
        <f t="shared" si="5"/>
        <v>232</v>
      </c>
      <c r="D28" s="8">
        <f>D8*C28</f>
        <v>0</v>
      </c>
      <c r="E28" s="8">
        <f t="shared" si="12"/>
        <v>0</v>
      </c>
      <c r="F28" s="8">
        <f t="shared" ref="F28:F33" si="13">F8*C28</f>
        <v>0</v>
      </c>
      <c r="G28" s="8">
        <f>G8*C28</f>
        <v>232</v>
      </c>
      <c r="H28" s="8"/>
      <c r="I28" s="8"/>
      <c r="J28" s="8">
        <f t="shared" si="8"/>
        <v>232</v>
      </c>
    </row>
    <row r="29" spans="1:10" x14ac:dyDescent="0.3">
      <c r="A29" s="14" t="s">
        <v>74</v>
      </c>
      <c r="B29" s="14" t="s">
        <v>103</v>
      </c>
      <c r="C29" s="14">
        <f t="shared" si="5"/>
        <v>84</v>
      </c>
      <c r="D29" s="14">
        <f t="shared" ref="D29" si="14">D9*C29</f>
        <v>84</v>
      </c>
      <c r="E29" s="14">
        <f t="shared" si="12"/>
        <v>84</v>
      </c>
      <c r="F29" s="14">
        <f t="shared" si="13"/>
        <v>84</v>
      </c>
      <c r="G29" s="14">
        <f>G9*D29</f>
        <v>84</v>
      </c>
      <c r="H29" s="14"/>
      <c r="I29" s="14"/>
      <c r="J29" s="14">
        <f t="shared" si="8"/>
        <v>336</v>
      </c>
    </row>
    <row r="30" spans="1:10" x14ac:dyDescent="0.3">
      <c r="A30" s="8" t="s">
        <v>114</v>
      </c>
      <c r="B30" s="22" t="s">
        <v>115</v>
      </c>
      <c r="C30" s="8">
        <f t="shared" si="5"/>
        <v>262</v>
      </c>
      <c r="D30" s="8">
        <f t="shared" ref="D30" si="15">D10*C30</f>
        <v>0</v>
      </c>
      <c r="E30" s="8">
        <f t="shared" si="12"/>
        <v>0</v>
      </c>
      <c r="F30" s="8">
        <f t="shared" si="13"/>
        <v>262</v>
      </c>
      <c r="G30" s="8">
        <f>G10*D30</f>
        <v>0</v>
      </c>
      <c r="H30" s="8"/>
      <c r="I30" s="8"/>
      <c r="J30" s="8">
        <f t="shared" si="8"/>
        <v>262</v>
      </c>
    </row>
    <row r="31" spans="1:10" x14ac:dyDescent="0.3">
      <c r="A31" s="14" t="s">
        <v>108</v>
      </c>
      <c r="B31" s="14" t="s">
        <v>109</v>
      </c>
      <c r="C31" s="14">
        <f t="shared" si="5"/>
        <v>572</v>
      </c>
      <c r="D31" s="14">
        <f t="shared" ref="D31" si="16">D11*C31</f>
        <v>572</v>
      </c>
      <c r="E31" s="14">
        <f t="shared" si="12"/>
        <v>0</v>
      </c>
      <c r="F31" s="14">
        <f t="shared" si="13"/>
        <v>572</v>
      </c>
      <c r="G31" s="14">
        <f>G11*D31</f>
        <v>0</v>
      </c>
      <c r="H31" s="14"/>
      <c r="I31" s="14"/>
      <c r="J31" s="14">
        <f t="shared" si="8"/>
        <v>1144</v>
      </c>
    </row>
    <row r="32" spans="1:10" x14ac:dyDescent="0.3">
      <c r="A32" s="8" t="s">
        <v>110</v>
      </c>
      <c r="B32" s="8" t="s">
        <v>116</v>
      </c>
      <c r="C32" s="8">
        <f t="shared" si="5"/>
        <v>266</v>
      </c>
      <c r="D32" s="8">
        <f t="shared" ref="D32" si="17">D12*C32</f>
        <v>0</v>
      </c>
      <c r="E32" s="8">
        <f t="shared" si="12"/>
        <v>0</v>
      </c>
      <c r="F32" s="8">
        <f t="shared" si="13"/>
        <v>266</v>
      </c>
      <c r="G32" s="8">
        <f>G12*D32</f>
        <v>0</v>
      </c>
      <c r="H32" s="8"/>
      <c r="I32" s="8"/>
      <c r="J32" s="8">
        <f t="shared" si="8"/>
        <v>266</v>
      </c>
    </row>
    <row r="33" spans="1:10" x14ac:dyDescent="0.3">
      <c r="A33" s="14" t="s">
        <v>110</v>
      </c>
      <c r="B33" s="14" t="s">
        <v>111</v>
      </c>
      <c r="C33" s="14">
        <f t="shared" si="5"/>
        <v>262</v>
      </c>
      <c r="D33" s="14">
        <f t="shared" ref="D33" si="18">D13*C33</f>
        <v>0</v>
      </c>
      <c r="E33" s="14">
        <f t="shared" si="12"/>
        <v>262</v>
      </c>
      <c r="F33" s="14">
        <f t="shared" si="13"/>
        <v>0</v>
      </c>
      <c r="G33" s="14">
        <f>G13*D33</f>
        <v>0</v>
      </c>
      <c r="H33" s="14"/>
      <c r="I33" s="14"/>
      <c r="J33" s="14">
        <f t="shared" si="8"/>
        <v>262</v>
      </c>
    </row>
    <row r="35" spans="1:10" x14ac:dyDescent="0.3">
      <c r="A35" s="9"/>
      <c r="B35" s="9"/>
      <c r="C35" s="9"/>
      <c r="D35" s="9">
        <f>SUM(D22:D33)</f>
        <v>1544</v>
      </c>
      <c r="E35" s="9">
        <f>SUM(E22:E33)</f>
        <v>586</v>
      </c>
      <c r="F35" s="9">
        <f>SUM(F22:F33)</f>
        <v>2540</v>
      </c>
      <c r="G35" s="9">
        <f t="shared" ref="G35" si="19">SUM(G22:G33)</f>
        <v>1720</v>
      </c>
      <c r="H35" s="9"/>
      <c r="I35" s="9">
        <f>SUM(D35:G35)</f>
        <v>6390</v>
      </c>
      <c r="J35" s="9">
        <f>SUM(J22:J33)</f>
        <v>6390</v>
      </c>
    </row>
    <row r="66" spans="1:10" x14ac:dyDescent="0.3">
      <c r="H66" t="s">
        <v>89</v>
      </c>
    </row>
    <row r="67" spans="1:10" x14ac:dyDescent="0.3">
      <c r="A67" s="2"/>
      <c r="B67" s="2"/>
      <c r="C67" s="2"/>
      <c r="D67" s="2"/>
      <c r="E67" s="2"/>
      <c r="F67" s="2"/>
      <c r="G67" s="2"/>
      <c r="H67" s="2"/>
      <c r="I67" s="2"/>
      <c r="J67" s="4">
        <f>SUM(J2:J65)</f>
        <v>25826.25</v>
      </c>
    </row>
    <row r="74" spans="1:10" x14ac:dyDescent="0.3">
      <c r="J74">
        <f>SUM(J2:J65)</f>
        <v>25826.25</v>
      </c>
    </row>
    <row r="75" spans="1:10" x14ac:dyDescent="0.3">
      <c r="D75">
        <f>SUM(D2:D65)</f>
        <v>5121</v>
      </c>
      <c r="E75">
        <f>SUM(E2:E65)</f>
        <v>3202</v>
      </c>
      <c r="F75">
        <f>SUM(D75:E75)</f>
        <v>8323</v>
      </c>
      <c r="H75">
        <f>SUM(H2:H65)</f>
        <v>48</v>
      </c>
      <c r="I75">
        <f>SUM(I2:I65)</f>
        <v>12913.125</v>
      </c>
      <c r="J75">
        <f>2*I75</f>
        <v>25826.25</v>
      </c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 t="s">
        <v>0</v>
      </c>
      <c r="B78" s="1" t="s">
        <v>1</v>
      </c>
      <c r="C78" s="1" t="s">
        <v>2</v>
      </c>
      <c r="D78" s="1" t="s">
        <v>10</v>
      </c>
      <c r="E78" s="1" t="s">
        <v>93</v>
      </c>
    </row>
    <row r="79" spans="1:10" x14ac:dyDescent="0.3">
      <c r="A79" t="s">
        <v>13</v>
      </c>
      <c r="B79" t="s">
        <v>14</v>
      </c>
      <c r="C79">
        <f>C2*2</f>
        <v>240</v>
      </c>
      <c r="D79">
        <f>C79*D2</f>
        <v>240</v>
      </c>
      <c r="E79">
        <f>C79*E2</f>
        <v>240</v>
      </c>
    </row>
    <row r="80" spans="1:10" x14ac:dyDescent="0.3">
      <c r="A80" t="s">
        <v>13</v>
      </c>
      <c r="B80" t="s">
        <v>15</v>
      </c>
      <c r="C80">
        <f>C5*2</f>
        <v>284</v>
      </c>
      <c r="D80">
        <f>C80*D5</f>
        <v>284</v>
      </c>
      <c r="E80">
        <f>C80*E5</f>
        <v>0</v>
      </c>
    </row>
    <row r="81" spans="1:5" x14ac:dyDescent="0.3">
      <c r="A81" t="s">
        <v>13</v>
      </c>
      <c r="B81" t="s">
        <v>16</v>
      </c>
      <c r="C81">
        <f>C7*2</f>
        <v>364</v>
      </c>
      <c r="D81">
        <f>C81*D7</f>
        <v>364</v>
      </c>
      <c r="E81">
        <f>C81*E7</f>
        <v>0</v>
      </c>
    </row>
    <row r="82" spans="1:5" x14ac:dyDescent="0.3">
      <c r="A82" t="s">
        <v>17</v>
      </c>
      <c r="B82" t="s">
        <v>18</v>
      </c>
      <c r="C82" t="e">
        <f>#REF!*2</f>
        <v>#REF!</v>
      </c>
      <c r="D82" t="e">
        <f>C82*#REF!</f>
        <v>#REF!</v>
      </c>
      <c r="E82" t="e">
        <f>C82*#REF!</f>
        <v>#REF!</v>
      </c>
    </row>
    <row r="83" spans="1:5" x14ac:dyDescent="0.3">
      <c r="A83" t="s">
        <v>19</v>
      </c>
      <c r="B83" t="s">
        <v>20</v>
      </c>
      <c r="C83">
        <f>C9*2</f>
        <v>84</v>
      </c>
      <c r="D83">
        <f>C83*D9</f>
        <v>84</v>
      </c>
      <c r="E83">
        <f>C83*E9</f>
        <v>84</v>
      </c>
    </row>
    <row r="84" spans="1:5" x14ac:dyDescent="0.3">
      <c r="A84" t="s">
        <v>19</v>
      </c>
      <c r="B84" t="s">
        <v>21</v>
      </c>
      <c r="C84">
        <f>C11*2</f>
        <v>572</v>
      </c>
      <c r="D84">
        <f>C84*D11</f>
        <v>572</v>
      </c>
      <c r="E84">
        <f>C84*E11</f>
        <v>0</v>
      </c>
    </row>
    <row r="85" spans="1:5" x14ac:dyDescent="0.3">
      <c r="A85" t="s">
        <v>22</v>
      </c>
      <c r="B85" t="s">
        <v>23</v>
      </c>
      <c r="C85">
        <f>C13*2</f>
        <v>262</v>
      </c>
      <c r="D85">
        <f>C85*D13</f>
        <v>0</v>
      </c>
      <c r="E85">
        <f>C85*E13</f>
        <v>262</v>
      </c>
    </row>
    <row r="86" spans="1:5" x14ac:dyDescent="0.3">
      <c r="A86" t="s">
        <v>22</v>
      </c>
      <c r="B86" t="s">
        <v>24</v>
      </c>
      <c r="C86" t="e">
        <f>#REF!*2</f>
        <v>#REF!</v>
      </c>
      <c r="D86" t="e">
        <f>C86*#REF!</f>
        <v>#REF!</v>
      </c>
      <c r="E86" t="e">
        <f>C86*#REF!</f>
        <v>#REF!</v>
      </c>
    </row>
    <row r="87" spans="1:5" x14ac:dyDescent="0.3">
      <c r="A87" t="s">
        <v>22</v>
      </c>
      <c r="B87" t="s">
        <v>25</v>
      </c>
      <c r="C87">
        <f t="shared" ref="C87:C96" si="20">C14*2</f>
        <v>0</v>
      </c>
      <c r="D87">
        <f t="shared" ref="D87:D96" si="21">C87*D14</f>
        <v>0</v>
      </c>
      <c r="E87">
        <f t="shared" ref="E87:E96" si="22">C87*E14</f>
        <v>0</v>
      </c>
    </row>
    <row r="88" spans="1:5" x14ac:dyDescent="0.3">
      <c r="A88" t="s">
        <v>22</v>
      </c>
      <c r="B88" t="s">
        <v>26</v>
      </c>
      <c r="C88">
        <f t="shared" si="20"/>
        <v>0</v>
      </c>
      <c r="D88">
        <f t="shared" si="21"/>
        <v>0</v>
      </c>
      <c r="E88">
        <f t="shared" si="22"/>
        <v>0</v>
      </c>
    </row>
    <row r="89" spans="1:5" x14ac:dyDescent="0.3">
      <c r="A89" t="s">
        <v>22</v>
      </c>
      <c r="B89" t="s">
        <v>27</v>
      </c>
      <c r="C89">
        <f t="shared" si="20"/>
        <v>0</v>
      </c>
      <c r="D89">
        <f t="shared" si="21"/>
        <v>0</v>
      </c>
      <c r="E89">
        <f t="shared" si="22"/>
        <v>0</v>
      </c>
    </row>
    <row r="90" spans="1:5" x14ac:dyDescent="0.3">
      <c r="A90" t="s">
        <v>28</v>
      </c>
      <c r="B90" t="s">
        <v>29</v>
      </c>
      <c r="C90">
        <f t="shared" si="20"/>
        <v>0</v>
      </c>
      <c r="D90">
        <f t="shared" si="21"/>
        <v>0</v>
      </c>
      <c r="E90">
        <f t="shared" si="22"/>
        <v>0</v>
      </c>
    </row>
    <row r="91" spans="1:5" x14ac:dyDescent="0.3">
      <c r="A91" t="s">
        <v>30</v>
      </c>
      <c r="B91" t="s">
        <v>31</v>
      </c>
      <c r="C91">
        <f t="shared" si="20"/>
        <v>0</v>
      </c>
      <c r="D91">
        <f t="shared" si="21"/>
        <v>0</v>
      </c>
      <c r="E91">
        <f t="shared" si="22"/>
        <v>0</v>
      </c>
    </row>
    <row r="92" spans="1:5" x14ac:dyDescent="0.3">
      <c r="A92" t="s">
        <v>30</v>
      </c>
      <c r="B92" t="s">
        <v>32</v>
      </c>
      <c r="C92">
        <f t="shared" si="20"/>
        <v>0</v>
      </c>
      <c r="D92">
        <f t="shared" si="21"/>
        <v>0</v>
      </c>
      <c r="E92">
        <f t="shared" si="22"/>
        <v>0</v>
      </c>
    </row>
    <row r="93" spans="1:5" x14ac:dyDescent="0.3">
      <c r="A93" t="s">
        <v>30</v>
      </c>
      <c r="B93" t="s">
        <v>33</v>
      </c>
      <c r="C93">
        <f t="shared" si="20"/>
        <v>0</v>
      </c>
      <c r="D93">
        <f t="shared" si="21"/>
        <v>0</v>
      </c>
      <c r="E93">
        <f t="shared" si="22"/>
        <v>0</v>
      </c>
    </row>
    <row r="94" spans="1:5" x14ac:dyDescent="0.3">
      <c r="A94" t="s">
        <v>30</v>
      </c>
      <c r="B94" t="s">
        <v>34</v>
      </c>
      <c r="C94" t="e">
        <f t="shared" si="20"/>
        <v>#VALUE!</v>
      </c>
      <c r="D94" t="e">
        <f t="shared" si="21"/>
        <v>#VALUE!</v>
      </c>
      <c r="E94" t="e">
        <f t="shared" si="22"/>
        <v>#VALUE!</v>
      </c>
    </row>
    <row r="95" spans="1:5" x14ac:dyDescent="0.3">
      <c r="A95" t="s">
        <v>30</v>
      </c>
      <c r="B95" t="s">
        <v>35</v>
      </c>
      <c r="C95">
        <f t="shared" si="20"/>
        <v>480</v>
      </c>
      <c r="D95">
        <f t="shared" si="21"/>
        <v>115200</v>
      </c>
      <c r="E95">
        <f t="shared" si="22"/>
        <v>115200</v>
      </c>
    </row>
    <row r="96" spans="1:5" x14ac:dyDescent="0.3">
      <c r="A96" t="s">
        <v>98</v>
      </c>
      <c r="B96" t="s">
        <v>101</v>
      </c>
      <c r="C96">
        <f t="shared" si="20"/>
        <v>936</v>
      </c>
      <c r="D96">
        <f t="shared" si="21"/>
        <v>0</v>
      </c>
      <c r="E96">
        <f t="shared" si="22"/>
        <v>0</v>
      </c>
    </row>
    <row r="97" spans="1:10" x14ac:dyDescent="0.3">
      <c r="A97" t="s">
        <v>36</v>
      </c>
      <c r="B97" t="s">
        <v>37</v>
      </c>
      <c r="C97">
        <f t="shared" ref="C97" si="23">C25*2</f>
        <v>568</v>
      </c>
      <c r="D97">
        <f t="shared" ref="D97" si="24">C97*D25</f>
        <v>161312</v>
      </c>
      <c r="E97">
        <f t="shared" ref="E97" si="25">C97*E25</f>
        <v>0</v>
      </c>
    </row>
    <row r="98" spans="1:10" x14ac:dyDescent="0.3">
      <c r="A98" t="s">
        <v>96</v>
      </c>
      <c r="B98" t="s">
        <v>95</v>
      </c>
      <c r="C98">
        <f t="shared" ref="C98" si="26">C27*2</f>
        <v>728</v>
      </c>
      <c r="D98">
        <f t="shared" ref="D98" si="27">C98*D27</f>
        <v>264992</v>
      </c>
      <c r="E98">
        <f t="shared" ref="E98" si="28">C98*E27</f>
        <v>0</v>
      </c>
    </row>
    <row r="99" spans="1:10" x14ac:dyDescent="0.3">
      <c r="A99" t="s">
        <v>99</v>
      </c>
      <c r="B99" t="s">
        <v>100</v>
      </c>
      <c r="C99">
        <v>209</v>
      </c>
      <c r="D99" t="e">
        <f>#REF!*D30</f>
        <v>#REF!</v>
      </c>
      <c r="E99">
        <f>C99*E30</f>
        <v>0</v>
      </c>
    </row>
    <row r="100" spans="1:10" x14ac:dyDescent="0.3">
      <c r="A100" t="s">
        <v>38</v>
      </c>
      <c r="B100" t="s">
        <v>39</v>
      </c>
      <c r="C100">
        <f t="shared" ref="C100:C135" si="29">C30*2</f>
        <v>524</v>
      </c>
      <c r="D100">
        <f t="shared" ref="D100:D129" si="30">C100*D30</f>
        <v>0</v>
      </c>
      <c r="E100">
        <f t="shared" ref="E100:E135" si="31">C100*E30</f>
        <v>0</v>
      </c>
    </row>
    <row r="101" spans="1:10" x14ac:dyDescent="0.3">
      <c r="A101" t="s">
        <v>40</v>
      </c>
      <c r="B101" t="s">
        <v>41</v>
      </c>
      <c r="C101">
        <f t="shared" si="29"/>
        <v>1144</v>
      </c>
      <c r="D101">
        <f t="shared" si="30"/>
        <v>654368</v>
      </c>
      <c r="E101">
        <f t="shared" si="31"/>
        <v>0</v>
      </c>
    </row>
    <row r="102" spans="1:10" x14ac:dyDescent="0.3">
      <c r="A102" t="s">
        <v>40</v>
      </c>
      <c r="B102" t="s">
        <v>42</v>
      </c>
      <c r="C102">
        <f t="shared" si="29"/>
        <v>532</v>
      </c>
      <c r="D102">
        <f t="shared" si="30"/>
        <v>0</v>
      </c>
      <c r="E102">
        <f t="shared" si="31"/>
        <v>0</v>
      </c>
    </row>
    <row r="103" spans="1:10" x14ac:dyDescent="0.3">
      <c r="A103" t="s">
        <v>40</v>
      </c>
      <c r="B103" t="s">
        <v>43</v>
      </c>
      <c r="C103">
        <f t="shared" si="29"/>
        <v>524</v>
      </c>
      <c r="D103">
        <f t="shared" si="30"/>
        <v>0</v>
      </c>
      <c r="E103">
        <f t="shared" si="31"/>
        <v>137288</v>
      </c>
    </row>
    <row r="104" spans="1:10" x14ac:dyDescent="0.3">
      <c r="A104" t="s">
        <v>44</v>
      </c>
      <c r="B104" t="s">
        <v>45</v>
      </c>
      <c r="C104">
        <f t="shared" si="29"/>
        <v>0</v>
      </c>
      <c r="D104">
        <f t="shared" si="30"/>
        <v>0</v>
      </c>
      <c r="E104">
        <f t="shared" si="31"/>
        <v>0</v>
      </c>
    </row>
    <row r="105" spans="1:10" x14ac:dyDescent="0.3">
      <c r="A105" t="s">
        <v>44</v>
      </c>
      <c r="B105" t="s">
        <v>46</v>
      </c>
      <c r="C105">
        <f t="shared" si="29"/>
        <v>0</v>
      </c>
      <c r="D105">
        <f t="shared" si="30"/>
        <v>0</v>
      </c>
      <c r="E105">
        <f t="shared" si="31"/>
        <v>0</v>
      </c>
      <c r="F105" s="1"/>
      <c r="G105" s="1"/>
      <c r="H105" s="1"/>
      <c r="I105" s="1"/>
      <c r="J105" s="1"/>
    </row>
    <row r="106" spans="1:10" x14ac:dyDescent="0.3">
      <c r="A106" t="s">
        <v>44</v>
      </c>
      <c r="B106" t="s">
        <v>47</v>
      </c>
      <c r="C106">
        <f t="shared" si="29"/>
        <v>0</v>
      </c>
      <c r="D106">
        <f t="shared" si="30"/>
        <v>0</v>
      </c>
      <c r="E106">
        <f t="shared" si="31"/>
        <v>0</v>
      </c>
    </row>
    <row r="107" spans="1:10" x14ac:dyDescent="0.3">
      <c r="A107" t="s">
        <v>44</v>
      </c>
      <c r="B107" t="s">
        <v>48</v>
      </c>
      <c r="C107">
        <f t="shared" si="29"/>
        <v>0</v>
      </c>
      <c r="D107">
        <f t="shared" si="30"/>
        <v>0</v>
      </c>
      <c r="E107">
        <f t="shared" si="31"/>
        <v>0</v>
      </c>
    </row>
    <row r="108" spans="1:10" x14ac:dyDescent="0.3">
      <c r="A108" t="s">
        <v>44</v>
      </c>
      <c r="B108" t="s">
        <v>49</v>
      </c>
      <c r="C108">
        <f t="shared" si="29"/>
        <v>0</v>
      </c>
      <c r="D108">
        <f t="shared" si="30"/>
        <v>0</v>
      </c>
      <c r="E108">
        <f t="shared" si="31"/>
        <v>0</v>
      </c>
    </row>
    <row r="109" spans="1:10" x14ac:dyDescent="0.3">
      <c r="A109" t="s">
        <v>50</v>
      </c>
      <c r="B109" t="s">
        <v>51</v>
      </c>
      <c r="C109">
        <f t="shared" si="29"/>
        <v>0</v>
      </c>
      <c r="D109">
        <f t="shared" si="30"/>
        <v>0</v>
      </c>
      <c r="E109">
        <f t="shared" si="31"/>
        <v>0</v>
      </c>
    </row>
    <row r="110" spans="1:10" x14ac:dyDescent="0.3">
      <c r="A110" t="s">
        <v>52</v>
      </c>
      <c r="B110" t="s">
        <v>53</v>
      </c>
      <c r="C110">
        <f t="shared" si="29"/>
        <v>0</v>
      </c>
      <c r="D110">
        <f t="shared" si="30"/>
        <v>0</v>
      </c>
      <c r="E110">
        <f t="shared" si="31"/>
        <v>0</v>
      </c>
    </row>
    <row r="111" spans="1:10" x14ac:dyDescent="0.3">
      <c r="A111" t="s">
        <v>54</v>
      </c>
      <c r="B111" t="s">
        <v>55</v>
      </c>
      <c r="C111">
        <f t="shared" si="29"/>
        <v>0</v>
      </c>
      <c r="D111">
        <f t="shared" si="30"/>
        <v>0</v>
      </c>
      <c r="E111">
        <f t="shared" si="31"/>
        <v>0</v>
      </c>
    </row>
    <row r="112" spans="1:10" x14ac:dyDescent="0.3">
      <c r="A112" t="s">
        <v>56</v>
      </c>
      <c r="B112" t="s">
        <v>57</v>
      </c>
      <c r="C112">
        <f t="shared" si="29"/>
        <v>0</v>
      </c>
      <c r="D112">
        <f t="shared" si="30"/>
        <v>0</v>
      </c>
      <c r="E112">
        <f t="shared" si="31"/>
        <v>0</v>
      </c>
    </row>
    <row r="113" spans="1:5" x14ac:dyDescent="0.3">
      <c r="A113" t="s">
        <v>56</v>
      </c>
      <c r="B113" t="s">
        <v>58</v>
      </c>
      <c r="C113">
        <f t="shared" si="29"/>
        <v>0</v>
      </c>
      <c r="D113">
        <f t="shared" si="30"/>
        <v>0</v>
      </c>
      <c r="E113">
        <f t="shared" si="31"/>
        <v>0</v>
      </c>
    </row>
    <row r="114" spans="1:5" x14ac:dyDescent="0.3">
      <c r="A114" t="s">
        <v>59</v>
      </c>
      <c r="B114" t="s">
        <v>60</v>
      </c>
      <c r="C114">
        <f t="shared" si="29"/>
        <v>0</v>
      </c>
      <c r="D114">
        <f t="shared" si="30"/>
        <v>0</v>
      </c>
      <c r="E114">
        <f t="shared" si="31"/>
        <v>0</v>
      </c>
    </row>
    <row r="115" spans="1:5" x14ac:dyDescent="0.3">
      <c r="A115" t="s">
        <v>59</v>
      </c>
      <c r="B115" t="s">
        <v>61</v>
      </c>
      <c r="C115">
        <f t="shared" si="29"/>
        <v>0</v>
      </c>
      <c r="D115">
        <f t="shared" si="30"/>
        <v>0</v>
      </c>
      <c r="E115">
        <f t="shared" si="31"/>
        <v>0</v>
      </c>
    </row>
    <row r="116" spans="1:5" x14ac:dyDescent="0.3">
      <c r="A116" t="s">
        <v>59</v>
      </c>
      <c r="B116" t="s">
        <v>62</v>
      </c>
      <c r="C116">
        <f t="shared" si="29"/>
        <v>0</v>
      </c>
      <c r="D116">
        <f t="shared" si="30"/>
        <v>0</v>
      </c>
      <c r="E116">
        <f t="shared" si="31"/>
        <v>0</v>
      </c>
    </row>
    <row r="117" spans="1:5" x14ac:dyDescent="0.3">
      <c r="A117" t="s">
        <v>63</v>
      </c>
      <c r="B117" t="s">
        <v>64</v>
      </c>
      <c r="C117">
        <f t="shared" si="29"/>
        <v>0</v>
      </c>
      <c r="D117">
        <f t="shared" si="30"/>
        <v>0</v>
      </c>
      <c r="E117">
        <f t="shared" si="31"/>
        <v>0</v>
      </c>
    </row>
    <row r="118" spans="1:5" x14ac:dyDescent="0.3">
      <c r="A118" t="s">
        <v>65</v>
      </c>
      <c r="B118" t="s">
        <v>66</v>
      </c>
      <c r="C118">
        <f t="shared" si="29"/>
        <v>0</v>
      </c>
      <c r="D118">
        <f t="shared" si="30"/>
        <v>0</v>
      </c>
      <c r="E118">
        <f t="shared" si="31"/>
        <v>0</v>
      </c>
    </row>
    <row r="119" spans="1:5" x14ac:dyDescent="0.3">
      <c r="A119" t="s">
        <v>65</v>
      </c>
      <c r="B119" t="s">
        <v>67</v>
      </c>
      <c r="C119">
        <f t="shared" si="29"/>
        <v>0</v>
      </c>
      <c r="D119">
        <f t="shared" si="30"/>
        <v>0</v>
      </c>
      <c r="E119">
        <f t="shared" si="31"/>
        <v>0</v>
      </c>
    </row>
    <row r="120" spans="1:5" x14ac:dyDescent="0.3">
      <c r="A120" t="s">
        <v>65</v>
      </c>
      <c r="B120" t="s">
        <v>68</v>
      </c>
      <c r="C120">
        <f t="shared" si="29"/>
        <v>0</v>
      </c>
      <c r="D120">
        <f t="shared" si="30"/>
        <v>0</v>
      </c>
      <c r="E120">
        <f t="shared" si="31"/>
        <v>0</v>
      </c>
    </row>
    <row r="121" spans="1:5" x14ac:dyDescent="0.3">
      <c r="A121" t="s">
        <v>65</v>
      </c>
      <c r="B121" t="s">
        <v>69</v>
      </c>
      <c r="C121">
        <f t="shared" si="29"/>
        <v>0</v>
      </c>
      <c r="D121">
        <f t="shared" si="30"/>
        <v>0</v>
      </c>
      <c r="E121">
        <f t="shared" si="31"/>
        <v>0</v>
      </c>
    </row>
    <row r="122" spans="1:5" x14ac:dyDescent="0.3">
      <c r="A122" t="s">
        <v>70</v>
      </c>
      <c r="B122" t="s">
        <v>71</v>
      </c>
      <c r="C122">
        <f t="shared" si="29"/>
        <v>0</v>
      </c>
      <c r="D122">
        <f t="shared" si="30"/>
        <v>0</v>
      </c>
      <c r="E122">
        <f t="shared" si="31"/>
        <v>0</v>
      </c>
    </row>
    <row r="123" spans="1:5" x14ac:dyDescent="0.3">
      <c r="A123" t="s">
        <v>70</v>
      </c>
      <c r="B123" t="s">
        <v>72</v>
      </c>
      <c r="C123">
        <f t="shared" si="29"/>
        <v>0</v>
      </c>
      <c r="D123">
        <f t="shared" si="30"/>
        <v>0</v>
      </c>
      <c r="E123">
        <f t="shared" si="31"/>
        <v>0</v>
      </c>
    </row>
    <row r="124" spans="1:5" x14ac:dyDescent="0.3">
      <c r="A124" t="s">
        <v>70</v>
      </c>
      <c r="B124" t="s">
        <v>73</v>
      </c>
      <c r="C124">
        <f t="shared" si="29"/>
        <v>0</v>
      </c>
      <c r="D124">
        <f t="shared" si="30"/>
        <v>0</v>
      </c>
      <c r="E124">
        <f t="shared" si="31"/>
        <v>0</v>
      </c>
    </row>
    <row r="125" spans="1:5" x14ac:dyDescent="0.3">
      <c r="A125" t="s">
        <v>74</v>
      </c>
      <c r="B125" t="s">
        <v>75</v>
      </c>
      <c r="C125">
        <f t="shared" si="29"/>
        <v>0</v>
      </c>
      <c r="D125">
        <f t="shared" si="30"/>
        <v>0</v>
      </c>
      <c r="E125">
        <f t="shared" si="31"/>
        <v>0</v>
      </c>
    </row>
    <row r="126" spans="1:5" x14ac:dyDescent="0.3">
      <c r="A126" t="s">
        <v>74</v>
      </c>
      <c r="B126" t="s">
        <v>76</v>
      </c>
      <c r="C126">
        <f t="shared" si="29"/>
        <v>0</v>
      </c>
      <c r="D126">
        <f t="shared" si="30"/>
        <v>0</v>
      </c>
      <c r="E126">
        <f t="shared" si="31"/>
        <v>0</v>
      </c>
    </row>
    <row r="127" spans="1:5" x14ac:dyDescent="0.3">
      <c r="A127" t="s">
        <v>74</v>
      </c>
      <c r="B127" t="s">
        <v>77</v>
      </c>
      <c r="C127">
        <f t="shared" si="29"/>
        <v>0</v>
      </c>
      <c r="D127">
        <f t="shared" si="30"/>
        <v>0</v>
      </c>
      <c r="E127">
        <f t="shared" si="31"/>
        <v>0</v>
      </c>
    </row>
    <row r="128" spans="1:5" x14ac:dyDescent="0.3">
      <c r="A128" t="s">
        <v>78</v>
      </c>
      <c r="B128" t="s">
        <v>79</v>
      </c>
      <c r="C128">
        <f t="shared" si="29"/>
        <v>0</v>
      </c>
      <c r="D128">
        <f t="shared" si="30"/>
        <v>0</v>
      </c>
      <c r="E128">
        <f t="shared" si="31"/>
        <v>0</v>
      </c>
    </row>
    <row r="129" spans="1:9" x14ac:dyDescent="0.3">
      <c r="A129" t="s">
        <v>78</v>
      </c>
      <c r="B129" t="s">
        <v>80</v>
      </c>
      <c r="C129">
        <f t="shared" si="29"/>
        <v>0</v>
      </c>
      <c r="D129">
        <f t="shared" si="30"/>
        <v>0</v>
      </c>
      <c r="E129">
        <f t="shared" si="31"/>
        <v>0</v>
      </c>
    </row>
    <row r="130" spans="1:9" x14ac:dyDescent="0.3">
      <c r="A130" t="s">
        <v>78</v>
      </c>
      <c r="B130" t="s">
        <v>102</v>
      </c>
      <c r="C130">
        <f t="shared" si="29"/>
        <v>0</v>
      </c>
      <c r="D130">
        <v>0</v>
      </c>
      <c r="E130">
        <f t="shared" si="31"/>
        <v>0</v>
      </c>
    </row>
    <row r="131" spans="1:9" x14ac:dyDescent="0.3">
      <c r="A131" t="s">
        <v>81</v>
      </c>
      <c r="B131" t="s">
        <v>82</v>
      </c>
      <c r="C131">
        <f t="shared" si="29"/>
        <v>0</v>
      </c>
      <c r="D131">
        <f>C131*D61</f>
        <v>0</v>
      </c>
      <c r="E131">
        <f t="shared" si="31"/>
        <v>0</v>
      </c>
    </row>
    <row r="132" spans="1:9" x14ac:dyDescent="0.3">
      <c r="A132" t="s">
        <v>83</v>
      </c>
      <c r="B132" t="s">
        <v>84</v>
      </c>
      <c r="C132">
        <f t="shared" si="29"/>
        <v>0</v>
      </c>
      <c r="D132">
        <f>C132*D62</f>
        <v>0</v>
      </c>
      <c r="E132">
        <f t="shared" si="31"/>
        <v>0</v>
      </c>
    </row>
    <row r="133" spans="1:9" x14ac:dyDescent="0.3">
      <c r="A133" t="s">
        <v>83</v>
      </c>
      <c r="B133" t="s">
        <v>85</v>
      </c>
      <c r="C133">
        <f t="shared" si="29"/>
        <v>0</v>
      </c>
      <c r="D133">
        <f>C133*D63</f>
        <v>0</v>
      </c>
      <c r="E133">
        <f t="shared" si="31"/>
        <v>0</v>
      </c>
    </row>
    <row r="134" spans="1:9" x14ac:dyDescent="0.3">
      <c r="A134" t="s">
        <v>83</v>
      </c>
      <c r="B134" t="s">
        <v>86</v>
      </c>
      <c r="C134">
        <f t="shared" si="29"/>
        <v>0</v>
      </c>
      <c r="D134">
        <f>C134*D64</f>
        <v>0</v>
      </c>
      <c r="E134">
        <f t="shared" si="31"/>
        <v>0</v>
      </c>
    </row>
    <row r="135" spans="1:9" x14ac:dyDescent="0.3">
      <c r="A135" t="s">
        <v>87</v>
      </c>
      <c r="B135" t="s">
        <v>88</v>
      </c>
      <c r="C135">
        <f t="shared" si="29"/>
        <v>0</v>
      </c>
      <c r="D135">
        <f>C135*D65</f>
        <v>0</v>
      </c>
      <c r="E135">
        <f t="shared" si="31"/>
        <v>0</v>
      </c>
    </row>
    <row r="143" spans="1:9" x14ac:dyDescent="0.3">
      <c r="D143" s="1" t="s">
        <v>10</v>
      </c>
      <c r="E143" s="1" t="s">
        <v>93</v>
      </c>
    </row>
    <row r="144" spans="1:9" x14ac:dyDescent="0.3">
      <c r="D144" t="e">
        <f t="shared" ref="D144:E144" si="32">SUM(D79:D135)</f>
        <v>#REF!</v>
      </c>
      <c r="E144" t="e">
        <f t="shared" si="32"/>
        <v>#REF!</v>
      </c>
      <c r="H144" t="e">
        <f>SUM(D144:E144)</f>
        <v>#REF!</v>
      </c>
      <c r="I144" s="3" t="e">
        <f>H144/H75</f>
        <v>#REF!</v>
      </c>
    </row>
    <row r="145" spans="4:9" x14ac:dyDescent="0.3">
      <c r="D145" s="3" t="e">
        <f t="shared" ref="D145:E145" si="33">D144/D75</f>
        <v>#REF!</v>
      </c>
      <c r="E145" s="3" t="e">
        <f t="shared" si="33"/>
        <v>#REF!</v>
      </c>
      <c r="H145" s="3" t="e">
        <f>H144/F75</f>
        <v>#REF!</v>
      </c>
      <c r="I145" t="s">
        <v>97</v>
      </c>
    </row>
    <row r="215" spans="1:3" x14ac:dyDescent="0.3">
      <c r="A215" s="1" t="s">
        <v>0</v>
      </c>
      <c r="B215" s="1" t="s">
        <v>90</v>
      </c>
      <c r="C215" s="1"/>
    </row>
    <row r="216" spans="1:3" x14ac:dyDescent="0.3">
      <c r="A216" t="s">
        <v>13</v>
      </c>
      <c r="B216">
        <v>3</v>
      </c>
    </row>
    <row r="217" spans="1:3" x14ac:dyDescent="0.3">
      <c r="A217" t="s">
        <v>17</v>
      </c>
      <c r="B217">
        <v>1</v>
      </c>
    </row>
    <row r="218" spans="1:3" x14ac:dyDescent="0.3">
      <c r="A218" t="s">
        <v>19</v>
      </c>
      <c r="B218">
        <v>2</v>
      </c>
    </row>
    <row r="219" spans="1:3" x14ac:dyDescent="0.3">
      <c r="A219" t="s">
        <v>22</v>
      </c>
      <c r="B219">
        <v>5</v>
      </c>
    </row>
    <row r="220" spans="1:3" x14ac:dyDescent="0.3">
      <c r="A220" t="s">
        <v>28</v>
      </c>
      <c r="B220">
        <v>1</v>
      </c>
    </row>
    <row r="221" spans="1:3" x14ac:dyDescent="0.3">
      <c r="A221" t="s">
        <v>30</v>
      </c>
      <c r="B221">
        <v>5</v>
      </c>
    </row>
    <row r="222" spans="1:3" x14ac:dyDescent="0.3">
      <c r="A222" t="s">
        <v>36</v>
      </c>
      <c r="B222">
        <v>1</v>
      </c>
    </row>
    <row r="223" spans="1:3" x14ac:dyDescent="0.3">
      <c r="A223" t="s">
        <v>38</v>
      </c>
      <c r="B223">
        <v>1</v>
      </c>
    </row>
    <row r="224" spans="1:3" x14ac:dyDescent="0.3">
      <c r="A224" t="s">
        <v>40</v>
      </c>
      <c r="B224">
        <v>3</v>
      </c>
    </row>
    <row r="225" spans="1:3" x14ac:dyDescent="0.3">
      <c r="A225" t="s">
        <v>44</v>
      </c>
      <c r="B225">
        <v>5</v>
      </c>
    </row>
    <row r="226" spans="1:3" x14ac:dyDescent="0.3">
      <c r="A226" t="s">
        <v>50</v>
      </c>
      <c r="B226">
        <v>1</v>
      </c>
    </row>
    <row r="227" spans="1:3" x14ac:dyDescent="0.3">
      <c r="A227" t="s">
        <v>52</v>
      </c>
      <c r="B227">
        <v>1</v>
      </c>
    </row>
    <row r="228" spans="1:3" x14ac:dyDescent="0.3">
      <c r="A228" t="s">
        <v>91</v>
      </c>
      <c r="B228">
        <v>1</v>
      </c>
    </row>
    <row r="229" spans="1:3" x14ac:dyDescent="0.3">
      <c r="A229" t="s">
        <v>56</v>
      </c>
      <c r="B229">
        <v>2</v>
      </c>
    </row>
    <row r="230" spans="1:3" x14ac:dyDescent="0.3">
      <c r="A230" t="s">
        <v>59</v>
      </c>
      <c r="B230">
        <v>3</v>
      </c>
    </row>
    <row r="231" spans="1:3" x14ac:dyDescent="0.3">
      <c r="A231" t="s">
        <v>92</v>
      </c>
      <c r="B231">
        <v>1</v>
      </c>
    </row>
    <row r="232" spans="1:3" x14ac:dyDescent="0.3">
      <c r="A232" t="s">
        <v>65</v>
      </c>
      <c r="B232">
        <v>4</v>
      </c>
    </row>
    <row r="233" spans="1:3" x14ac:dyDescent="0.3">
      <c r="A233" t="s">
        <v>70</v>
      </c>
      <c r="B233">
        <v>3</v>
      </c>
    </row>
    <row r="234" spans="1:3" x14ac:dyDescent="0.3">
      <c r="A234" t="s">
        <v>74</v>
      </c>
      <c r="B234">
        <v>3</v>
      </c>
    </row>
    <row r="235" spans="1:3" x14ac:dyDescent="0.3">
      <c r="A235" t="s">
        <v>78</v>
      </c>
      <c r="B235">
        <v>2</v>
      </c>
    </row>
    <row r="236" spans="1:3" x14ac:dyDescent="0.3">
      <c r="A236" t="s">
        <v>81</v>
      </c>
      <c r="B236">
        <v>1</v>
      </c>
    </row>
    <row r="237" spans="1:3" x14ac:dyDescent="0.3">
      <c r="A237" t="s">
        <v>83</v>
      </c>
      <c r="B237">
        <v>3</v>
      </c>
    </row>
    <row r="238" spans="1:3" x14ac:dyDescent="0.3">
      <c r="A238" t="s">
        <v>87</v>
      </c>
      <c r="B238">
        <v>1</v>
      </c>
    </row>
    <row r="240" spans="1:3" x14ac:dyDescent="0.3">
      <c r="A240" s="1"/>
      <c r="B240" s="1">
        <f>SUM(B216:B238)</f>
        <v>53</v>
      </c>
      <c r="C24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pelipaikat</vt:lpstr>
      <vt:lpstr>beach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Janne Katoperä</dc:creator>
  <cp:lastModifiedBy>Janne Katoperä</cp:lastModifiedBy>
  <dcterms:created xsi:type="dcterms:W3CDTF">2024-06-12T09:53:02Z</dcterms:created>
  <dcterms:modified xsi:type="dcterms:W3CDTF">2026-10-14T05:12:26Z</dcterms:modified>
</cp:coreProperties>
</file>
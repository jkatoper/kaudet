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923E057-B6B0-469A-86F0-5955307FA83B}" xr6:coauthVersionLast="47" xr6:coauthVersionMax="47" xr10:uidLastSave="{00000000-0000-0000-0000-000000000000}"/>
  <bookViews>
    <workbookView xWindow="-108" yWindow="-108" windowWidth="23256" windowHeight="13896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F23" i="2"/>
  <c r="J23" i="2" s="1"/>
  <c r="E23" i="2"/>
  <c r="D23" i="2"/>
  <c r="C23" i="2"/>
  <c r="H4" i="2"/>
  <c r="I4" i="2" s="1"/>
  <c r="J4" i="2" s="1"/>
  <c r="F25" i="2"/>
  <c r="E25" i="2"/>
  <c r="D25" i="2"/>
  <c r="G25" i="2" s="1"/>
  <c r="C25" i="2"/>
  <c r="H6" i="2"/>
  <c r="I6" i="2" s="1"/>
  <c r="J6" i="2" s="1"/>
  <c r="G16" i="2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8" i="2"/>
  <c r="I8" i="2" s="1"/>
  <c r="J8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C31" i="2"/>
  <c r="D31" i="2" s="1"/>
  <c r="G31" i="2" s="1"/>
  <c r="C30" i="2"/>
  <c r="D30" i="2" s="1"/>
  <c r="C29" i="2"/>
  <c r="D29" i="2" s="1"/>
  <c r="C28" i="2"/>
  <c r="D28" i="2" s="1"/>
  <c r="C27" i="2"/>
  <c r="D27" i="2" s="1"/>
  <c r="G27" i="2" s="1"/>
  <c r="C26" i="2"/>
  <c r="D26" i="2" s="1"/>
  <c r="G26" i="2" s="1"/>
  <c r="C24" i="2"/>
  <c r="F24" i="2" s="1"/>
  <c r="C22" i="2"/>
  <c r="D22" i="2" s="1"/>
  <c r="C21" i="2"/>
  <c r="D21" i="2" s="1"/>
  <c r="F16" i="2"/>
  <c r="E16" i="2"/>
  <c r="D16" i="2"/>
  <c r="E29" i="2" l="1"/>
  <c r="G21" i="2"/>
  <c r="G22" i="2"/>
  <c r="G28" i="2"/>
  <c r="E27" i="2"/>
  <c r="E30" i="2"/>
  <c r="G29" i="2"/>
  <c r="E26" i="2"/>
  <c r="J26" i="2" s="1"/>
  <c r="E28" i="2"/>
  <c r="G30" i="2"/>
  <c r="J25" i="2"/>
  <c r="H16" i="2"/>
  <c r="F30" i="2"/>
  <c r="E31" i="2"/>
  <c r="F31" i="2"/>
  <c r="E21" i="2"/>
  <c r="J21" i="2" s="1"/>
  <c r="E22" i="2"/>
  <c r="E24" i="2"/>
  <c r="F22" i="2"/>
  <c r="J22" i="2" s="1"/>
  <c r="F27" i="2"/>
  <c r="J27" i="2" s="1"/>
  <c r="F28" i="2"/>
  <c r="D24" i="2"/>
  <c r="F29" i="2"/>
  <c r="F21" i="2"/>
  <c r="F26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6" i="2"/>
  <c r="I16" i="2"/>
  <c r="B238" i="2"/>
  <c r="C133" i="2"/>
  <c r="C132" i="2"/>
  <c r="E132" i="2" s="1"/>
  <c r="C131" i="2"/>
  <c r="C130" i="2"/>
  <c r="D130" i="2" s="1"/>
  <c r="C129" i="2"/>
  <c r="C128" i="2"/>
  <c r="E128" i="2" s="1"/>
  <c r="C127" i="2"/>
  <c r="E127" i="2" s="1"/>
  <c r="C126" i="2"/>
  <c r="C125" i="2"/>
  <c r="C124" i="2"/>
  <c r="C123" i="2"/>
  <c r="E123" i="2" s="1"/>
  <c r="C122" i="2"/>
  <c r="D122" i="2" s="1"/>
  <c r="C121" i="2"/>
  <c r="C120" i="2"/>
  <c r="C119" i="2"/>
  <c r="C118" i="2"/>
  <c r="E118" i="2" s="1"/>
  <c r="C117" i="2"/>
  <c r="D117" i="2" s="1"/>
  <c r="C116" i="2"/>
  <c r="E116" i="2" s="1"/>
  <c r="C115" i="2"/>
  <c r="E115" i="2" s="1"/>
  <c r="C114" i="2"/>
  <c r="E114" i="2" s="1"/>
  <c r="C113" i="2"/>
  <c r="C112" i="2"/>
  <c r="C111" i="2"/>
  <c r="C110" i="2"/>
  <c r="C109" i="2"/>
  <c r="C108" i="2"/>
  <c r="C107" i="2"/>
  <c r="C106" i="2"/>
  <c r="D106" i="2" s="1"/>
  <c r="C105" i="2"/>
  <c r="C104" i="2"/>
  <c r="D104" i="2" s="1"/>
  <c r="C103" i="2"/>
  <c r="C102" i="2"/>
  <c r="C101" i="2"/>
  <c r="C100" i="2"/>
  <c r="C99" i="2"/>
  <c r="C98" i="2"/>
  <c r="E98" i="2" s="1"/>
  <c r="D97" i="2"/>
  <c r="C96" i="2"/>
  <c r="C95" i="2"/>
  <c r="C94" i="2"/>
  <c r="C93" i="2"/>
  <c r="C92" i="2"/>
  <c r="D92" i="2" s="1"/>
  <c r="C91" i="2"/>
  <c r="C90" i="2"/>
  <c r="C89" i="2"/>
  <c r="C88" i="2"/>
  <c r="D88" i="2" s="1"/>
  <c r="C87" i="2"/>
  <c r="C86" i="2"/>
  <c r="D86" i="2" s="1"/>
  <c r="C85" i="2"/>
  <c r="C84" i="2"/>
  <c r="C83" i="2"/>
  <c r="E83" i="2" s="1"/>
  <c r="C82" i="2"/>
  <c r="C81" i="2"/>
  <c r="E81" i="2" s="1"/>
  <c r="C80" i="2"/>
  <c r="C79" i="2"/>
  <c r="C78" i="2"/>
  <c r="C77" i="2"/>
  <c r="E77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J28" i="2" l="1"/>
  <c r="F33" i="2"/>
  <c r="J30" i="2"/>
  <c r="J31" i="2"/>
  <c r="J29" i="2"/>
  <c r="E33" i="2"/>
  <c r="E73" i="2" s="1"/>
  <c r="J17" i="2"/>
  <c r="G24" i="2"/>
  <c r="G33" i="2" s="1"/>
  <c r="E93" i="2"/>
  <c r="I17" i="2"/>
  <c r="E97" i="2"/>
  <c r="D33" i="2"/>
  <c r="D73" i="2"/>
  <c r="F73" i="2" s="1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E103" i="2"/>
  <c r="D77" i="2"/>
  <c r="E122" i="2"/>
  <c r="E104" i="2"/>
  <c r="E117" i="2"/>
  <c r="D81" i="2"/>
  <c r="E86" i="2"/>
  <c r="E130" i="2"/>
  <c r="D93" i="2"/>
  <c r="D99" i="2"/>
  <c r="D131" i="2"/>
  <c r="D87" i="2"/>
  <c r="E110" i="2"/>
  <c r="E99" i="2"/>
  <c r="D100" i="2"/>
  <c r="D78" i="2"/>
  <c r="D105" i="2"/>
  <c r="E96" i="2"/>
  <c r="D133" i="2"/>
  <c r="E102" i="2"/>
  <c r="E133" i="2"/>
  <c r="D80" i="2"/>
  <c r="E80" i="2"/>
  <c r="D116" i="2"/>
  <c r="D110" i="2"/>
  <c r="D82" i="2"/>
  <c r="D83" i="2"/>
  <c r="E78" i="2"/>
  <c r="E105" i="2"/>
  <c r="D115" i="2"/>
  <c r="E106" i="2"/>
  <c r="D111" i="2"/>
  <c r="E111" i="2"/>
  <c r="E92" i="2"/>
  <c r="D98" i="2"/>
  <c r="E131" i="2"/>
  <c r="D123" i="2"/>
  <c r="E100" i="2"/>
  <c r="E87" i="2"/>
  <c r="E125" i="2"/>
  <c r="D125" i="2"/>
  <c r="D91" i="2"/>
  <c r="E91" i="2"/>
  <c r="H73" i="2"/>
  <c r="E101" i="2"/>
  <c r="D101" i="2"/>
  <c r="D84" i="2"/>
  <c r="E119" i="2"/>
  <c r="D119" i="2"/>
  <c r="D112" i="2"/>
  <c r="E85" i="2"/>
  <c r="D85" i="2"/>
  <c r="E113" i="2"/>
  <c r="D113" i="2"/>
  <c r="D118" i="2"/>
  <c r="D94" i="2"/>
  <c r="E94" i="2"/>
  <c r="E95" i="2"/>
  <c r="D95" i="2"/>
  <c r="D96" i="2"/>
  <c r="E84" i="2"/>
  <c r="E112" i="2"/>
  <c r="E88" i="2"/>
  <c r="E89" i="2"/>
  <c r="D89" i="2"/>
  <c r="D127" i="2"/>
  <c r="E121" i="2"/>
  <c r="D121" i="2"/>
  <c r="D79" i="2"/>
  <c r="E79" i="2"/>
  <c r="D103" i="2"/>
  <c r="E129" i="2"/>
  <c r="D129" i="2"/>
  <c r="E107" i="2"/>
  <c r="D107" i="2"/>
  <c r="E82" i="2"/>
  <c r="D90" i="2"/>
  <c r="D124" i="2"/>
  <c r="E109" i="2"/>
  <c r="D109" i="2"/>
  <c r="E90" i="2"/>
  <c r="E124" i="2"/>
  <c r="D132" i="2"/>
  <c r="D126" i="2"/>
  <c r="D114" i="2"/>
  <c r="E120" i="2"/>
  <c r="D120" i="2"/>
  <c r="D102" i="2"/>
  <c r="E108" i="2"/>
  <c r="D108" i="2"/>
  <c r="E126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I33" i="2" l="1"/>
  <c r="I73" i="2" s="1"/>
  <c r="J73" i="2" s="1"/>
  <c r="J24" i="2"/>
  <c r="J33" i="2" s="1"/>
  <c r="P70" i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2" i="2"/>
  <c r="D143" i="2" s="1"/>
  <c r="E142" i="2"/>
  <c r="E143" i="2" s="1"/>
  <c r="J72" i="2"/>
  <c r="J65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2" i="2"/>
  <c r="L111" i="1" l="1"/>
  <c r="H143" i="2"/>
  <c r="I142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<sst xmlns="http://schemas.openxmlformats.org/spreadsheetml/2006/main" count="553" uniqueCount="140">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</sst>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4" borderId="1" xfId="0" applyFont="1" applyFill="1" applyBorder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7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38"/>
  <sheetViews>
    <sheetView tabSelected="1" workbookViewId="0">
      <selection activeCell="F4" sqref="F4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2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/>
      <c r="H5" s="14">
        <f t="shared" si="2"/>
        <v>2</v>
      </c>
      <c r="I5" s="14">
        <f t="shared" si="0"/>
        <v>284</v>
      </c>
      <c r="J5" s="14">
        <f t="shared" si="1"/>
        <v>568</v>
      </c>
    </row>
    <row r="6" spans="1:10" x14ac:dyDescent="0.3">
      <c r="A6" s="8" t="s">
        <v>22</v>
      </c>
      <c r="B6" s="23" t="s">
        <v>138</v>
      </c>
      <c r="C6" s="8">
        <v>47</v>
      </c>
      <c r="D6" s="8"/>
      <c r="E6" s="8"/>
      <c r="F6" s="8"/>
      <c r="G6" s="8">
        <v>1</v>
      </c>
      <c r="H6" s="8">
        <f t="shared" si="2"/>
        <v>1</v>
      </c>
      <c r="I6" s="8">
        <f>C6*H6</f>
        <v>47</v>
      </c>
      <c r="J6" s="8">
        <f t="shared" ref="J6:J12" si="3">2*I6</f>
        <v>94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74</v>
      </c>
      <c r="B8" s="8" t="s">
        <v>103</v>
      </c>
      <c r="C8" s="8">
        <v>42</v>
      </c>
      <c r="D8" s="8">
        <v>1</v>
      </c>
      <c r="E8" s="8">
        <v>1</v>
      </c>
      <c r="F8" s="8">
        <v>1</v>
      </c>
      <c r="G8" s="8">
        <v>1</v>
      </c>
      <c r="H8" s="8">
        <f t="shared" si="2"/>
        <v>4</v>
      </c>
      <c r="I8" s="8">
        <f>C8*H8</f>
        <v>168</v>
      </c>
      <c r="J8" s="8">
        <f t="shared" si="3"/>
        <v>336</v>
      </c>
    </row>
    <row r="9" spans="1:10" x14ac:dyDescent="0.3">
      <c r="A9" s="14" t="s">
        <v>114</v>
      </c>
      <c r="B9" s="22" t="s">
        <v>115</v>
      </c>
      <c r="C9" s="14">
        <v>131</v>
      </c>
      <c r="D9" s="14"/>
      <c r="E9" s="14"/>
      <c r="F9" s="14">
        <v>1</v>
      </c>
      <c r="G9" s="14"/>
      <c r="H9" s="14">
        <f t="shared" si="2"/>
        <v>1</v>
      </c>
      <c r="I9" s="14">
        <f>C9*H9</f>
        <v>131</v>
      </c>
      <c r="J9" s="14">
        <f t="shared" si="3"/>
        <v>262</v>
      </c>
    </row>
    <row r="10" spans="1:10" x14ac:dyDescent="0.3">
      <c r="A10" s="8" t="s">
        <v>108</v>
      </c>
      <c r="B10" s="8" t="s">
        <v>109</v>
      </c>
      <c r="C10" s="8">
        <v>286</v>
      </c>
      <c r="D10" s="8">
        <v>1</v>
      </c>
      <c r="E10" s="8"/>
      <c r="F10" s="8">
        <v>1</v>
      </c>
      <c r="G10" s="8"/>
      <c r="H10" s="8">
        <f t="shared" si="2"/>
        <v>2</v>
      </c>
      <c r="I10" s="8">
        <f>C10*H10</f>
        <v>572</v>
      </c>
      <c r="J10" s="8">
        <f t="shared" si="3"/>
        <v>1144</v>
      </c>
    </row>
    <row r="11" spans="1:10" x14ac:dyDescent="0.3">
      <c r="A11" s="14" t="s">
        <v>110</v>
      </c>
      <c r="B11" s="14" t="s">
        <v>116</v>
      </c>
      <c r="C11" s="14">
        <v>133</v>
      </c>
      <c r="D11" s="14"/>
      <c r="E11" s="14"/>
      <c r="F11" s="14">
        <v>1</v>
      </c>
      <c r="G11" s="14"/>
      <c r="H11" s="14">
        <f t="shared" si="2"/>
        <v>1</v>
      </c>
      <c r="I11" s="14">
        <f>C11*H11</f>
        <v>133</v>
      </c>
      <c r="J11" s="14">
        <f t="shared" si="3"/>
        <v>266</v>
      </c>
    </row>
    <row r="12" spans="1:10" x14ac:dyDescent="0.3">
      <c r="A12" s="8" t="s">
        <v>110</v>
      </c>
      <c r="B12" s="8" t="s">
        <v>111</v>
      </c>
      <c r="C12" s="8">
        <v>131</v>
      </c>
      <c r="D12" s="8"/>
      <c r="E12" s="8">
        <v>1</v>
      </c>
      <c r="F12" s="8"/>
      <c r="G12" s="8"/>
      <c r="H12" s="8">
        <f t="shared" si="2"/>
        <v>1</v>
      </c>
      <c r="I12" s="8">
        <f>C12*H12</f>
        <v>131</v>
      </c>
      <c r="J12" s="8">
        <f t="shared" si="3"/>
        <v>262</v>
      </c>
    </row>
    <row r="16" spans="1:10" x14ac:dyDescent="0.3">
      <c r="A16" s="10"/>
      <c r="B16" s="10"/>
      <c r="C16" s="10"/>
      <c r="D16" s="9">
        <f>SUM(D2:D15)</f>
        <v>5</v>
      </c>
      <c r="E16" s="9">
        <f>SUM(E2:E15)</f>
        <v>3</v>
      </c>
      <c r="F16" s="9">
        <f>SUM(F2:F15)</f>
        <v>8</v>
      </c>
      <c r="G16" s="9">
        <f>SUM(G2:G15)</f>
        <v>3</v>
      </c>
      <c r="H16" s="9">
        <f>SUM(D16:G16)</f>
        <v>19</v>
      </c>
      <c r="I16" s="9">
        <f>SUM(I2:I12)</f>
        <v>2606</v>
      </c>
      <c r="J16" s="9">
        <f>SUM(J2:J12)</f>
        <v>5212</v>
      </c>
    </row>
    <row r="17" spans="1:10" x14ac:dyDescent="0.3">
      <c r="A17" s="8" t="s">
        <v>97</v>
      </c>
      <c r="B17" s="8"/>
      <c r="C17" s="8"/>
      <c r="D17" s="8"/>
      <c r="E17" s="8"/>
      <c r="F17" s="8"/>
      <c r="G17" s="8"/>
      <c r="H17" s="8"/>
      <c r="I17" s="8">
        <f>I16/H16</f>
        <v>137.15789473684211</v>
      </c>
      <c r="J17" s="8">
        <f>J16/H16</f>
        <v>274.31578947368422</v>
      </c>
    </row>
    <row r="20" spans="1:10" x14ac:dyDescent="0.3">
      <c r="A20" s="7" t="s">
        <v>0</v>
      </c>
      <c r="B20" s="7" t="s">
        <v>1</v>
      </c>
      <c r="C20" s="7" t="s">
        <v>2</v>
      </c>
      <c r="D20" s="7">
        <v>2023</v>
      </c>
      <c r="E20" s="7">
        <v>2024</v>
      </c>
      <c r="F20" s="7">
        <v>2025</v>
      </c>
      <c r="G20" s="7">
        <v>2026</v>
      </c>
      <c r="H20" s="9"/>
      <c r="I20" s="7"/>
      <c r="J20" s="7" t="s">
        <v>11</v>
      </c>
    </row>
    <row r="21" spans="1:10" x14ac:dyDescent="0.3">
      <c r="A21" s="8" t="s">
        <v>104</v>
      </c>
      <c r="B21" s="8" t="s">
        <v>106</v>
      </c>
      <c r="C21" s="8">
        <f>2*C2</f>
        <v>240</v>
      </c>
      <c r="D21" s="8">
        <f>D2*C21</f>
        <v>240</v>
      </c>
      <c r="E21" s="8">
        <f>E2*C21</f>
        <v>240</v>
      </c>
      <c r="F21" s="8">
        <f>F2*C21</f>
        <v>240</v>
      </c>
      <c r="G21" s="8">
        <f>G2*D21</f>
        <v>0</v>
      </c>
      <c r="H21" s="8"/>
      <c r="I21" s="8"/>
      <c r="J21" s="8">
        <f>SUM(D21:G21)</f>
        <v>720</v>
      </c>
    </row>
    <row r="22" spans="1:10" x14ac:dyDescent="0.3">
      <c r="A22" s="6" t="s">
        <v>112</v>
      </c>
      <c r="B22" s="6" t="s">
        <v>113</v>
      </c>
      <c r="C22" s="6">
        <f>2*C3</f>
        <v>468</v>
      </c>
      <c r="D22" s="6">
        <f t="shared" ref="D22" si="4">D3*C22</f>
        <v>0</v>
      </c>
      <c r="E22" s="6">
        <f>E3*C22</f>
        <v>0</v>
      </c>
      <c r="F22" s="6">
        <f>F3*C22</f>
        <v>468</v>
      </c>
      <c r="G22" s="6">
        <f>G3*D22</f>
        <v>0</v>
      </c>
      <c r="H22" s="6"/>
      <c r="I22" s="6"/>
      <c r="J22" s="14">
        <f t="shared" ref="J22:J31" si="5">SUM(D22:G22)</f>
        <v>468</v>
      </c>
    </row>
    <row r="23" spans="1:10" x14ac:dyDescent="0.3">
      <c r="A23" s="8" t="s">
        <v>19</v>
      </c>
      <c r="B23" s="8" t="s">
        <v>139</v>
      </c>
      <c r="C23" s="8">
        <f>2*C4</f>
        <v>284</v>
      </c>
      <c r="D23" s="8">
        <f>D4*C23</f>
        <v>0</v>
      </c>
      <c r="E23" s="8">
        <f>E4*C23</f>
        <v>0</v>
      </c>
      <c r="F23" s="8">
        <f>F4*C23</f>
        <v>0</v>
      </c>
      <c r="G23" s="8">
        <f>G4*D23</f>
        <v>0</v>
      </c>
      <c r="H23" s="8"/>
      <c r="I23" s="8"/>
      <c r="J23" s="8">
        <f>SUM(D23:G23)</f>
        <v>0</v>
      </c>
    </row>
    <row r="24" spans="1:10" x14ac:dyDescent="0.3">
      <c r="A24" s="14" t="s">
        <v>19</v>
      </c>
      <c r="B24" s="14" t="s">
        <v>107</v>
      </c>
      <c r="C24" s="14">
        <f>2*C5</f>
        <v>284</v>
      </c>
      <c r="D24" s="14">
        <f t="shared" ref="D24" si="6">D5*C24</f>
        <v>284</v>
      </c>
      <c r="E24" s="14">
        <f>E5*C24</f>
        <v>0</v>
      </c>
      <c r="F24" s="14">
        <f t="shared" ref="F24:G24" si="7">F5*C24</f>
        <v>284</v>
      </c>
      <c r="G24" s="14">
        <f t="shared" si="7"/>
        <v>0</v>
      </c>
      <c r="H24" s="14"/>
      <c r="I24" s="14"/>
      <c r="J24" s="14">
        <f t="shared" si="5"/>
        <v>568</v>
      </c>
    </row>
    <row r="25" spans="1:10" x14ac:dyDescent="0.3">
      <c r="A25" s="8" t="s">
        <v>22</v>
      </c>
      <c r="B25" s="8" t="s">
        <v>138</v>
      </c>
      <c r="C25" s="8">
        <f>2*C6</f>
        <v>94</v>
      </c>
      <c r="D25" s="8">
        <f>2*D6</f>
        <v>0</v>
      </c>
      <c r="E25" s="8">
        <f>2*E6</f>
        <v>0</v>
      </c>
      <c r="F25" s="8">
        <f>2*F6</f>
        <v>0</v>
      </c>
      <c r="G25" s="8">
        <f>2*D25</f>
        <v>0</v>
      </c>
      <c r="H25" s="8"/>
      <c r="I25" s="8"/>
      <c r="J25" s="8">
        <f t="shared" si="5"/>
        <v>0</v>
      </c>
    </row>
    <row r="26" spans="1:10" x14ac:dyDescent="0.3">
      <c r="A26" s="14" t="s">
        <v>28</v>
      </c>
      <c r="B26" s="14" t="s">
        <v>105</v>
      </c>
      <c r="C26" s="14">
        <f>2*C7</f>
        <v>364</v>
      </c>
      <c r="D26" s="14">
        <f t="shared" ref="D26" si="8">D7*C26</f>
        <v>364</v>
      </c>
      <c r="E26" s="14">
        <f>E7*C26</f>
        <v>0</v>
      </c>
      <c r="F26" s="14">
        <f>F7*C26</f>
        <v>364</v>
      </c>
      <c r="G26" s="14">
        <f>G7*D26</f>
        <v>364</v>
      </c>
      <c r="H26" s="14"/>
      <c r="I26" s="14"/>
      <c r="J26" s="14">
        <f t="shared" si="5"/>
        <v>1092</v>
      </c>
    </row>
    <row r="27" spans="1:10" x14ac:dyDescent="0.3">
      <c r="A27" s="8" t="s">
        <v>74</v>
      </c>
      <c r="B27" s="8" t="s">
        <v>103</v>
      </c>
      <c r="C27" s="8">
        <f>2*C8</f>
        <v>84</v>
      </c>
      <c r="D27" s="8">
        <f t="shared" ref="D27" si="9">D8*C27</f>
        <v>84</v>
      </c>
      <c r="E27" s="8">
        <f>E8*C27</f>
        <v>84</v>
      </c>
      <c r="F27" s="8">
        <f>F8*C27</f>
        <v>84</v>
      </c>
      <c r="G27" s="8">
        <f>G8*D27</f>
        <v>84</v>
      </c>
      <c r="H27" s="8"/>
      <c r="I27" s="8"/>
      <c r="J27" s="8">
        <f t="shared" si="5"/>
        <v>336</v>
      </c>
    </row>
    <row r="28" spans="1:10" x14ac:dyDescent="0.3">
      <c r="A28" s="14" t="s">
        <v>114</v>
      </c>
      <c r="B28" s="22" t="s">
        <v>115</v>
      </c>
      <c r="C28" s="14">
        <f>2*C9</f>
        <v>262</v>
      </c>
      <c r="D28" s="14">
        <f t="shared" ref="D28" si="10">D9*C28</f>
        <v>0</v>
      </c>
      <c r="E28" s="14">
        <f>E9*C28</f>
        <v>0</v>
      </c>
      <c r="F28" s="14">
        <f>F9*C28</f>
        <v>262</v>
      </c>
      <c r="G28" s="14">
        <f>G9*D28</f>
        <v>0</v>
      </c>
      <c r="H28" s="14"/>
      <c r="I28" s="14"/>
      <c r="J28" s="14">
        <f t="shared" si="5"/>
        <v>262</v>
      </c>
    </row>
    <row r="29" spans="1:10" x14ac:dyDescent="0.3">
      <c r="A29" s="8" t="s">
        <v>108</v>
      </c>
      <c r="B29" s="8" t="s">
        <v>109</v>
      </c>
      <c r="C29" s="8">
        <f>2*C10</f>
        <v>572</v>
      </c>
      <c r="D29" s="8">
        <f t="shared" ref="D29" si="11">D10*C29</f>
        <v>572</v>
      </c>
      <c r="E29" s="8">
        <f>E10*C29</f>
        <v>0</v>
      </c>
      <c r="F29" s="8">
        <f>F10*C29</f>
        <v>572</v>
      </c>
      <c r="G29" s="8">
        <f>G10*D29</f>
        <v>0</v>
      </c>
      <c r="H29" s="8"/>
      <c r="I29" s="8"/>
      <c r="J29" s="8">
        <f t="shared" si="5"/>
        <v>1144</v>
      </c>
    </row>
    <row r="30" spans="1:10" x14ac:dyDescent="0.3">
      <c r="A30" s="14" t="s">
        <v>110</v>
      </c>
      <c r="B30" s="14" t="s">
        <v>116</v>
      </c>
      <c r="C30" s="14">
        <f>2*C11</f>
        <v>266</v>
      </c>
      <c r="D30" s="14">
        <f t="shared" ref="D30" si="12">D11*C30</f>
        <v>0</v>
      </c>
      <c r="E30" s="14">
        <f>E11*C30</f>
        <v>0</v>
      </c>
      <c r="F30" s="14">
        <f>F11*C30</f>
        <v>266</v>
      </c>
      <c r="G30" s="14">
        <f>G11*D30</f>
        <v>0</v>
      </c>
      <c r="H30" s="14"/>
      <c r="I30" s="14"/>
      <c r="J30" s="14">
        <f t="shared" si="5"/>
        <v>266</v>
      </c>
    </row>
    <row r="31" spans="1:10" x14ac:dyDescent="0.3">
      <c r="A31" s="8" t="s">
        <v>110</v>
      </c>
      <c r="B31" s="8" t="s">
        <v>111</v>
      </c>
      <c r="C31" s="8">
        <f>2*C12</f>
        <v>262</v>
      </c>
      <c r="D31" s="8">
        <f t="shared" ref="D31" si="13">D12*C31</f>
        <v>0</v>
      </c>
      <c r="E31" s="8">
        <f>E12*C31</f>
        <v>262</v>
      </c>
      <c r="F31" s="8">
        <f>F12*C31</f>
        <v>0</v>
      </c>
      <c r="G31" s="8">
        <f>G12*D31</f>
        <v>0</v>
      </c>
      <c r="H31" s="8"/>
      <c r="I31" s="8"/>
      <c r="J31" s="8">
        <f t="shared" si="5"/>
        <v>262</v>
      </c>
    </row>
    <row r="33" spans="1:10" x14ac:dyDescent="0.3">
      <c r="A33" s="9"/>
      <c r="B33" s="9"/>
      <c r="C33" s="9"/>
      <c r="D33" s="9">
        <f>SUM(D21:D31)</f>
        <v>1544</v>
      </c>
      <c r="E33" s="9">
        <f>SUM(E21:E31)</f>
        <v>586</v>
      </c>
      <c r="F33" s="9">
        <f>SUM(F21:F31)</f>
        <v>2540</v>
      </c>
      <c r="G33" s="9">
        <f t="shared" ref="G33" si="14">SUM(G21:G31)</f>
        <v>448</v>
      </c>
      <c r="H33" s="9"/>
      <c r="I33" s="9">
        <f>SUM(D33:G33)</f>
        <v>5118</v>
      </c>
      <c r="J33" s="9">
        <f>SUM(J21:J31)</f>
        <v>5118</v>
      </c>
    </row>
    <row r="64" spans="8:8" x14ac:dyDescent="0.3">
      <c r="H64" t="s">
        <v>89</v>
      </c>
    </row>
    <row r="65" spans="1:10" x14ac:dyDescent="0.3">
      <c r="A65" s="2"/>
      <c r="B65" s="2"/>
      <c r="C65" s="2"/>
      <c r="D65" s="2"/>
      <c r="E65" s="2"/>
      <c r="F65" s="2"/>
      <c r="G65" s="2"/>
      <c r="H65" s="2"/>
      <c r="I65" s="2"/>
      <c r="J65" s="4">
        <f>SUM(J2:J63)</f>
        <v>20934.315789473687</v>
      </c>
    </row>
    <row r="72" spans="1:10" x14ac:dyDescent="0.3">
      <c r="J72">
        <f>SUM(J2:J63)</f>
        <v>20934.315789473687</v>
      </c>
    </row>
    <row r="73" spans="1:10" x14ac:dyDescent="0.3">
      <c r="D73">
        <f>SUM(D2:D63)</f>
        <v>5121</v>
      </c>
      <c r="E73">
        <f>SUM(E2:E63)</f>
        <v>3202</v>
      </c>
      <c r="F73">
        <f>SUM(D73:E73)</f>
        <v>8323</v>
      </c>
      <c r="H73">
        <f>SUM(H2:H63)</f>
        <v>38</v>
      </c>
      <c r="I73">
        <f>SUM(I2:I63)</f>
        <v>10467.157894736843</v>
      </c>
      <c r="J73">
        <f>2*I73</f>
        <v>20934.315789473687</v>
      </c>
    </row>
    <row r="75" spans="1:1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0</v>
      </c>
      <c r="B76" s="1" t="s">
        <v>1</v>
      </c>
      <c r="C76" s="1" t="s">
        <v>2</v>
      </c>
      <c r="D76" s="1" t="s">
        <v>10</v>
      </c>
      <c r="E76" s="1" t="s">
        <v>93</v>
      </c>
    </row>
    <row r="77" spans="1:10" x14ac:dyDescent="0.3">
      <c r="A77" t="s">
        <v>13</v>
      </c>
      <c r="B77" t="s">
        <v>14</v>
      </c>
      <c r="C77">
        <f>C2*2</f>
        <v>240</v>
      </c>
      <c r="D77">
        <f>C77*D2</f>
        <v>240</v>
      </c>
      <c r="E77">
        <f>C77*E2</f>
        <v>240</v>
      </c>
    </row>
    <row r="78" spans="1:10" x14ac:dyDescent="0.3">
      <c r="A78" t="s">
        <v>13</v>
      </c>
      <c r="B78" t="s">
        <v>15</v>
      </c>
      <c r="C78">
        <f>C5*2</f>
        <v>284</v>
      </c>
      <c r="D78">
        <f>C78*D5</f>
        <v>284</v>
      </c>
      <c r="E78">
        <f>C78*E5</f>
        <v>0</v>
      </c>
    </row>
    <row r="79" spans="1:10" x14ac:dyDescent="0.3">
      <c r="A79" t="s">
        <v>13</v>
      </c>
      <c r="B79" t="s">
        <v>16</v>
      </c>
      <c r="C79">
        <f>C7*2</f>
        <v>364</v>
      </c>
      <c r="D79">
        <f>C79*D7</f>
        <v>364</v>
      </c>
      <c r="E79">
        <f>C79*E7</f>
        <v>0</v>
      </c>
    </row>
    <row r="80" spans="1:10" x14ac:dyDescent="0.3">
      <c r="A80" t="s">
        <v>17</v>
      </c>
      <c r="B80" t="s">
        <v>18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19</v>
      </c>
      <c r="B81" t="s">
        <v>20</v>
      </c>
      <c r="C81">
        <f>C8*2</f>
        <v>84</v>
      </c>
      <c r="D81">
        <f>C81*D8</f>
        <v>84</v>
      </c>
      <c r="E81">
        <f>C81*E8</f>
        <v>84</v>
      </c>
    </row>
    <row r="82" spans="1:5" x14ac:dyDescent="0.3">
      <c r="A82" t="s">
        <v>19</v>
      </c>
      <c r="B82" t="s">
        <v>21</v>
      </c>
      <c r="C82">
        <f>C10*2</f>
        <v>572</v>
      </c>
      <c r="D82">
        <f>C82*D10</f>
        <v>572</v>
      </c>
      <c r="E82">
        <f>C82*E10</f>
        <v>0</v>
      </c>
    </row>
    <row r="83" spans="1:5" x14ac:dyDescent="0.3">
      <c r="A83" t="s">
        <v>22</v>
      </c>
      <c r="B83" t="s">
        <v>23</v>
      </c>
      <c r="C83">
        <f>C12*2</f>
        <v>262</v>
      </c>
      <c r="D83">
        <f>C83*D12</f>
        <v>0</v>
      </c>
      <c r="E83">
        <f>C83*E12</f>
        <v>262</v>
      </c>
    </row>
    <row r="84" spans="1:5" x14ac:dyDescent="0.3">
      <c r="A84" t="s">
        <v>22</v>
      </c>
      <c r="B84" t="s">
        <v>24</v>
      </c>
      <c r="C84" t="e">
        <f>#REF!*2</f>
        <v>#REF!</v>
      </c>
      <c r="D84" t="e">
        <f>C84*#REF!</f>
        <v>#REF!</v>
      </c>
      <c r="E84" t="e">
        <f>C84*#REF!</f>
        <v>#REF!</v>
      </c>
    </row>
    <row r="85" spans="1:5" x14ac:dyDescent="0.3">
      <c r="A85" t="s">
        <v>22</v>
      </c>
      <c r="B85" t="s">
        <v>25</v>
      </c>
      <c r="C85">
        <f>C13*2</f>
        <v>0</v>
      </c>
      <c r="D85">
        <f>C85*D13</f>
        <v>0</v>
      </c>
      <c r="E85">
        <f>C85*E13</f>
        <v>0</v>
      </c>
    </row>
    <row r="86" spans="1:5" x14ac:dyDescent="0.3">
      <c r="A86" t="s">
        <v>22</v>
      </c>
      <c r="B86" t="s">
        <v>26</v>
      </c>
      <c r="C86">
        <f>C14*2</f>
        <v>0</v>
      </c>
      <c r="D86">
        <f>C86*D14</f>
        <v>0</v>
      </c>
      <c r="E86">
        <f>C86*E14</f>
        <v>0</v>
      </c>
    </row>
    <row r="87" spans="1:5" x14ac:dyDescent="0.3">
      <c r="A87" t="s">
        <v>22</v>
      </c>
      <c r="B87" t="s">
        <v>27</v>
      </c>
      <c r="C87">
        <f>C15*2</f>
        <v>0</v>
      </c>
      <c r="D87">
        <f>C87*D15</f>
        <v>0</v>
      </c>
      <c r="E87">
        <f>C87*E15</f>
        <v>0</v>
      </c>
    </row>
    <row r="88" spans="1:5" x14ac:dyDescent="0.3">
      <c r="A88" t="s">
        <v>28</v>
      </c>
      <c r="B88" t="s">
        <v>29</v>
      </c>
      <c r="C88">
        <f>C16*2</f>
        <v>0</v>
      </c>
      <c r="D88">
        <f>C88*D16</f>
        <v>0</v>
      </c>
      <c r="E88">
        <f>C88*E16</f>
        <v>0</v>
      </c>
    </row>
    <row r="89" spans="1:5" x14ac:dyDescent="0.3">
      <c r="A89" t="s">
        <v>30</v>
      </c>
      <c r="B89" t="s">
        <v>31</v>
      </c>
      <c r="C89">
        <f>C17*2</f>
        <v>0</v>
      </c>
      <c r="D89">
        <f>C89*D17</f>
        <v>0</v>
      </c>
      <c r="E89">
        <f>C89*E17</f>
        <v>0</v>
      </c>
    </row>
    <row r="90" spans="1:5" x14ac:dyDescent="0.3">
      <c r="A90" t="s">
        <v>30</v>
      </c>
      <c r="B90" t="s">
        <v>32</v>
      </c>
      <c r="C90">
        <f>C18*2</f>
        <v>0</v>
      </c>
      <c r="D90">
        <f>C90*D18</f>
        <v>0</v>
      </c>
      <c r="E90">
        <f>C90*E18</f>
        <v>0</v>
      </c>
    </row>
    <row r="91" spans="1:5" x14ac:dyDescent="0.3">
      <c r="A91" t="s">
        <v>30</v>
      </c>
      <c r="B91" t="s">
        <v>33</v>
      </c>
      <c r="C91">
        <f>C19*2</f>
        <v>0</v>
      </c>
      <c r="D91">
        <f>C91*D19</f>
        <v>0</v>
      </c>
      <c r="E91">
        <f>C91*E19</f>
        <v>0</v>
      </c>
    </row>
    <row r="92" spans="1:5" x14ac:dyDescent="0.3">
      <c r="A92" t="s">
        <v>30</v>
      </c>
      <c r="B92" t="s">
        <v>34</v>
      </c>
      <c r="C92" t="e">
        <f>C20*2</f>
        <v>#VALUE!</v>
      </c>
      <c r="D92" t="e">
        <f>C92*D20</f>
        <v>#VALUE!</v>
      </c>
      <c r="E92" t="e">
        <f>C92*E20</f>
        <v>#VALUE!</v>
      </c>
    </row>
    <row r="93" spans="1:5" x14ac:dyDescent="0.3">
      <c r="A93" t="s">
        <v>30</v>
      </c>
      <c r="B93" t="s">
        <v>35</v>
      </c>
      <c r="C93">
        <f>C21*2</f>
        <v>480</v>
      </c>
      <c r="D93">
        <f>C93*D21</f>
        <v>115200</v>
      </c>
      <c r="E93">
        <f>C93*E21</f>
        <v>115200</v>
      </c>
    </row>
    <row r="94" spans="1:5" x14ac:dyDescent="0.3">
      <c r="A94" t="s">
        <v>98</v>
      </c>
      <c r="B94" t="s">
        <v>101</v>
      </c>
      <c r="C94">
        <f>C22*2</f>
        <v>936</v>
      </c>
      <c r="D94">
        <f>C94*D22</f>
        <v>0</v>
      </c>
      <c r="E94">
        <f>C94*E22</f>
        <v>0</v>
      </c>
    </row>
    <row r="95" spans="1:5" x14ac:dyDescent="0.3">
      <c r="A95" t="s">
        <v>36</v>
      </c>
      <c r="B95" t="s">
        <v>37</v>
      </c>
      <c r="C95">
        <f t="shared" ref="C95" si="15">C24*2</f>
        <v>568</v>
      </c>
      <c r="D95">
        <f t="shared" ref="D95" si="16">C95*D24</f>
        <v>161312</v>
      </c>
      <c r="E95">
        <f t="shared" ref="E95" si="17">C95*E24</f>
        <v>0</v>
      </c>
    </row>
    <row r="96" spans="1:5" x14ac:dyDescent="0.3">
      <c r="A96" t="s">
        <v>96</v>
      </c>
      <c r="B96" t="s">
        <v>95</v>
      </c>
      <c r="C96">
        <f t="shared" ref="C96" si="18">C26*2</f>
        <v>728</v>
      </c>
      <c r="D96">
        <f t="shared" ref="D96" si="19">C96*D26</f>
        <v>264992</v>
      </c>
      <c r="E96">
        <f t="shared" ref="E96" si="20">C96*E26</f>
        <v>0</v>
      </c>
    </row>
    <row r="97" spans="1:10" x14ac:dyDescent="0.3">
      <c r="A97" t="s">
        <v>99</v>
      </c>
      <c r="B97" t="s">
        <v>100</v>
      </c>
      <c r="C97">
        <v>209</v>
      </c>
      <c r="D97" t="e">
        <f>#REF!*D28</f>
        <v>#REF!</v>
      </c>
      <c r="E97">
        <f>C97*E28</f>
        <v>0</v>
      </c>
    </row>
    <row r="98" spans="1:10" x14ac:dyDescent="0.3">
      <c r="A98" t="s">
        <v>38</v>
      </c>
      <c r="B98" t="s">
        <v>39</v>
      </c>
      <c r="C98">
        <f t="shared" ref="C98:C133" si="21">C28*2</f>
        <v>524</v>
      </c>
      <c r="D98">
        <f t="shared" ref="D98:D127" si="22">C98*D28</f>
        <v>0</v>
      </c>
      <c r="E98">
        <f t="shared" ref="E98:E133" si="23">C98*E28</f>
        <v>0</v>
      </c>
    </row>
    <row r="99" spans="1:10" x14ac:dyDescent="0.3">
      <c r="A99" t="s">
        <v>40</v>
      </c>
      <c r="B99" t="s">
        <v>41</v>
      </c>
      <c r="C99">
        <f t="shared" si="21"/>
        <v>1144</v>
      </c>
      <c r="D99">
        <f t="shared" si="22"/>
        <v>654368</v>
      </c>
      <c r="E99">
        <f t="shared" si="23"/>
        <v>0</v>
      </c>
    </row>
    <row r="100" spans="1:10" x14ac:dyDescent="0.3">
      <c r="A100" t="s">
        <v>40</v>
      </c>
      <c r="B100" t="s">
        <v>42</v>
      </c>
      <c r="C100">
        <f t="shared" si="21"/>
        <v>532</v>
      </c>
      <c r="D100">
        <f t="shared" si="22"/>
        <v>0</v>
      </c>
      <c r="E100">
        <f t="shared" si="23"/>
        <v>0</v>
      </c>
    </row>
    <row r="101" spans="1:10" x14ac:dyDescent="0.3">
      <c r="A101" t="s">
        <v>40</v>
      </c>
      <c r="B101" t="s">
        <v>43</v>
      </c>
      <c r="C101">
        <f t="shared" si="21"/>
        <v>524</v>
      </c>
      <c r="D101">
        <f t="shared" si="22"/>
        <v>0</v>
      </c>
      <c r="E101">
        <f t="shared" si="23"/>
        <v>137288</v>
      </c>
    </row>
    <row r="102" spans="1:10" x14ac:dyDescent="0.3">
      <c r="A102" t="s">
        <v>44</v>
      </c>
      <c r="B102" t="s">
        <v>45</v>
      </c>
      <c r="C102">
        <f t="shared" si="21"/>
        <v>0</v>
      </c>
      <c r="D102">
        <f t="shared" si="22"/>
        <v>0</v>
      </c>
      <c r="E102">
        <f t="shared" si="23"/>
        <v>0</v>
      </c>
    </row>
    <row r="103" spans="1:10" x14ac:dyDescent="0.3">
      <c r="A103" t="s">
        <v>44</v>
      </c>
      <c r="B103" t="s">
        <v>46</v>
      </c>
      <c r="C103">
        <f t="shared" si="21"/>
        <v>0</v>
      </c>
      <c r="D103">
        <f t="shared" si="22"/>
        <v>0</v>
      </c>
      <c r="E103">
        <f t="shared" si="23"/>
        <v>0</v>
      </c>
      <c r="F103" s="1"/>
      <c r="G103" s="1"/>
      <c r="H103" s="1"/>
      <c r="I103" s="1"/>
      <c r="J103" s="1"/>
    </row>
    <row r="104" spans="1:10" x14ac:dyDescent="0.3">
      <c r="A104" t="s">
        <v>44</v>
      </c>
      <c r="B104" t="s">
        <v>47</v>
      </c>
      <c r="C104">
        <f t="shared" si="21"/>
        <v>0</v>
      </c>
      <c r="D104">
        <f t="shared" si="22"/>
        <v>0</v>
      </c>
      <c r="E104">
        <f t="shared" si="23"/>
        <v>0</v>
      </c>
    </row>
    <row r="105" spans="1:10" x14ac:dyDescent="0.3">
      <c r="A105" t="s">
        <v>44</v>
      </c>
      <c r="B105" t="s">
        <v>48</v>
      </c>
      <c r="C105">
        <f t="shared" si="21"/>
        <v>0</v>
      </c>
      <c r="D105">
        <f t="shared" si="22"/>
        <v>0</v>
      </c>
      <c r="E105">
        <f t="shared" si="23"/>
        <v>0</v>
      </c>
    </row>
    <row r="106" spans="1:10" x14ac:dyDescent="0.3">
      <c r="A106" t="s">
        <v>44</v>
      </c>
      <c r="B106" t="s">
        <v>49</v>
      </c>
      <c r="C106">
        <f t="shared" si="21"/>
        <v>0</v>
      </c>
      <c r="D106">
        <f t="shared" si="22"/>
        <v>0</v>
      </c>
      <c r="E106">
        <f t="shared" si="23"/>
        <v>0</v>
      </c>
    </row>
    <row r="107" spans="1:10" x14ac:dyDescent="0.3">
      <c r="A107" t="s">
        <v>50</v>
      </c>
      <c r="B107" t="s">
        <v>51</v>
      </c>
      <c r="C107">
        <f t="shared" si="21"/>
        <v>0</v>
      </c>
      <c r="D107">
        <f t="shared" si="22"/>
        <v>0</v>
      </c>
      <c r="E107">
        <f t="shared" si="23"/>
        <v>0</v>
      </c>
    </row>
    <row r="108" spans="1:10" x14ac:dyDescent="0.3">
      <c r="A108" t="s">
        <v>52</v>
      </c>
      <c r="B108" t="s">
        <v>53</v>
      </c>
      <c r="C108">
        <f t="shared" si="21"/>
        <v>0</v>
      </c>
      <c r="D108">
        <f t="shared" si="22"/>
        <v>0</v>
      </c>
      <c r="E108">
        <f t="shared" si="23"/>
        <v>0</v>
      </c>
    </row>
    <row r="109" spans="1:10" x14ac:dyDescent="0.3">
      <c r="A109" t="s">
        <v>54</v>
      </c>
      <c r="B109" t="s">
        <v>55</v>
      </c>
      <c r="C109">
        <f t="shared" si="21"/>
        <v>0</v>
      </c>
      <c r="D109">
        <f t="shared" si="22"/>
        <v>0</v>
      </c>
      <c r="E109">
        <f t="shared" si="23"/>
        <v>0</v>
      </c>
    </row>
    <row r="110" spans="1:10" x14ac:dyDescent="0.3">
      <c r="A110" t="s">
        <v>56</v>
      </c>
      <c r="B110" t="s">
        <v>57</v>
      </c>
      <c r="C110">
        <f t="shared" si="21"/>
        <v>0</v>
      </c>
      <c r="D110">
        <f t="shared" si="22"/>
        <v>0</v>
      </c>
      <c r="E110">
        <f t="shared" si="23"/>
        <v>0</v>
      </c>
    </row>
    <row r="111" spans="1:10" x14ac:dyDescent="0.3">
      <c r="A111" t="s">
        <v>56</v>
      </c>
      <c r="B111" t="s">
        <v>58</v>
      </c>
      <c r="C111">
        <f t="shared" si="21"/>
        <v>0</v>
      </c>
      <c r="D111">
        <f t="shared" si="22"/>
        <v>0</v>
      </c>
      <c r="E111">
        <f t="shared" si="23"/>
        <v>0</v>
      </c>
    </row>
    <row r="112" spans="1:10" x14ac:dyDescent="0.3">
      <c r="A112" t="s">
        <v>59</v>
      </c>
      <c r="B112" t="s">
        <v>60</v>
      </c>
      <c r="C112">
        <f t="shared" si="21"/>
        <v>0</v>
      </c>
      <c r="D112">
        <f t="shared" si="22"/>
        <v>0</v>
      </c>
      <c r="E112">
        <f t="shared" si="23"/>
        <v>0</v>
      </c>
    </row>
    <row r="113" spans="1:5" x14ac:dyDescent="0.3">
      <c r="A113" t="s">
        <v>59</v>
      </c>
      <c r="B113" t="s">
        <v>61</v>
      </c>
      <c r="C113">
        <f t="shared" si="21"/>
        <v>0</v>
      </c>
      <c r="D113">
        <f t="shared" si="22"/>
        <v>0</v>
      </c>
      <c r="E113">
        <f t="shared" si="23"/>
        <v>0</v>
      </c>
    </row>
    <row r="114" spans="1:5" x14ac:dyDescent="0.3">
      <c r="A114" t="s">
        <v>59</v>
      </c>
      <c r="B114" t="s">
        <v>62</v>
      </c>
      <c r="C114">
        <f t="shared" si="21"/>
        <v>0</v>
      </c>
      <c r="D114">
        <f t="shared" si="22"/>
        <v>0</v>
      </c>
      <c r="E114">
        <f t="shared" si="23"/>
        <v>0</v>
      </c>
    </row>
    <row r="115" spans="1:5" x14ac:dyDescent="0.3">
      <c r="A115" t="s">
        <v>63</v>
      </c>
      <c r="B115" t="s">
        <v>64</v>
      </c>
      <c r="C115">
        <f t="shared" si="21"/>
        <v>0</v>
      </c>
      <c r="D115">
        <f t="shared" si="22"/>
        <v>0</v>
      </c>
      <c r="E115">
        <f t="shared" si="23"/>
        <v>0</v>
      </c>
    </row>
    <row r="116" spans="1:5" x14ac:dyDescent="0.3">
      <c r="A116" t="s">
        <v>65</v>
      </c>
      <c r="B116" t="s">
        <v>66</v>
      </c>
      <c r="C116">
        <f t="shared" si="21"/>
        <v>0</v>
      </c>
      <c r="D116">
        <f t="shared" si="22"/>
        <v>0</v>
      </c>
      <c r="E116">
        <f t="shared" si="23"/>
        <v>0</v>
      </c>
    </row>
    <row r="117" spans="1:5" x14ac:dyDescent="0.3">
      <c r="A117" t="s">
        <v>65</v>
      </c>
      <c r="B117" t="s">
        <v>67</v>
      </c>
      <c r="C117">
        <f t="shared" si="21"/>
        <v>0</v>
      </c>
      <c r="D117">
        <f t="shared" si="22"/>
        <v>0</v>
      </c>
      <c r="E117">
        <f t="shared" si="23"/>
        <v>0</v>
      </c>
    </row>
    <row r="118" spans="1:5" x14ac:dyDescent="0.3">
      <c r="A118" t="s">
        <v>65</v>
      </c>
      <c r="B118" t="s">
        <v>68</v>
      </c>
      <c r="C118">
        <f t="shared" si="21"/>
        <v>0</v>
      </c>
      <c r="D118">
        <f t="shared" si="22"/>
        <v>0</v>
      </c>
      <c r="E118">
        <f t="shared" si="23"/>
        <v>0</v>
      </c>
    </row>
    <row r="119" spans="1:5" x14ac:dyDescent="0.3">
      <c r="A119" t="s">
        <v>65</v>
      </c>
      <c r="B119" t="s">
        <v>69</v>
      </c>
      <c r="C119">
        <f t="shared" si="21"/>
        <v>0</v>
      </c>
      <c r="D119">
        <f t="shared" si="22"/>
        <v>0</v>
      </c>
      <c r="E119">
        <f t="shared" si="23"/>
        <v>0</v>
      </c>
    </row>
    <row r="120" spans="1:5" x14ac:dyDescent="0.3">
      <c r="A120" t="s">
        <v>70</v>
      </c>
      <c r="B120" t="s">
        <v>71</v>
      </c>
      <c r="C120">
        <f t="shared" si="21"/>
        <v>0</v>
      </c>
      <c r="D120">
        <f t="shared" si="22"/>
        <v>0</v>
      </c>
      <c r="E120">
        <f t="shared" si="23"/>
        <v>0</v>
      </c>
    </row>
    <row r="121" spans="1:5" x14ac:dyDescent="0.3">
      <c r="A121" t="s">
        <v>70</v>
      </c>
      <c r="B121" t="s">
        <v>72</v>
      </c>
      <c r="C121">
        <f t="shared" si="21"/>
        <v>0</v>
      </c>
      <c r="D121">
        <f t="shared" si="22"/>
        <v>0</v>
      </c>
      <c r="E121">
        <f t="shared" si="23"/>
        <v>0</v>
      </c>
    </row>
    <row r="122" spans="1:5" x14ac:dyDescent="0.3">
      <c r="A122" t="s">
        <v>70</v>
      </c>
      <c r="B122" t="s">
        <v>73</v>
      </c>
      <c r="C122">
        <f t="shared" si="21"/>
        <v>0</v>
      </c>
      <c r="D122">
        <f t="shared" si="22"/>
        <v>0</v>
      </c>
      <c r="E122">
        <f t="shared" si="23"/>
        <v>0</v>
      </c>
    </row>
    <row r="123" spans="1:5" x14ac:dyDescent="0.3">
      <c r="A123" t="s">
        <v>74</v>
      </c>
      <c r="B123" t="s">
        <v>75</v>
      </c>
      <c r="C123">
        <f t="shared" si="21"/>
        <v>0</v>
      </c>
      <c r="D123">
        <f t="shared" si="22"/>
        <v>0</v>
      </c>
      <c r="E123">
        <f t="shared" si="23"/>
        <v>0</v>
      </c>
    </row>
    <row r="124" spans="1:5" x14ac:dyDescent="0.3">
      <c r="A124" t="s">
        <v>74</v>
      </c>
      <c r="B124" t="s">
        <v>76</v>
      </c>
      <c r="C124">
        <f t="shared" si="21"/>
        <v>0</v>
      </c>
      <c r="D124">
        <f t="shared" si="22"/>
        <v>0</v>
      </c>
      <c r="E124">
        <f t="shared" si="23"/>
        <v>0</v>
      </c>
    </row>
    <row r="125" spans="1:5" x14ac:dyDescent="0.3">
      <c r="A125" t="s">
        <v>74</v>
      </c>
      <c r="B125" t="s">
        <v>77</v>
      </c>
      <c r="C125">
        <f t="shared" si="21"/>
        <v>0</v>
      </c>
      <c r="D125">
        <f t="shared" si="22"/>
        <v>0</v>
      </c>
      <c r="E125">
        <f t="shared" si="23"/>
        <v>0</v>
      </c>
    </row>
    <row r="126" spans="1:5" x14ac:dyDescent="0.3">
      <c r="A126" t="s">
        <v>78</v>
      </c>
      <c r="B126" t="s">
        <v>79</v>
      </c>
      <c r="C126">
        <f t="shared" si="21"/>
        <v>0</v>
      </c>
      <c r="D126">
        <f t="shared" si="22"/>
        <v>0</v>
      </c>
      <c r="E126">
        <f t="shared" si="23"/>
        <v>0</v>
      </c>
    </row>
    <row r="127" spans="1:5" x14ac:dyDescent="0.3">
      <c r="A127" t="s">
        <v>78</v>
      </c>
      <c r="B127" t="s">
        <v>80</v>
      </c>
      <c r="C127">
        <f t="shared" si="21"/>
        <v>0</v>
      </c>
      <c r="D127">
        <f t="shared" si="22"/>
        <v>0</v>
      </c>
      <c r="E127">
        <f t="shared" si="23"/>
        <v>0</v>
      </c>
    </row>
    <row r="128" spans="1:5" x14ac:dyDescent="0.3">
      <c r="A128" t="s">
        <v>78</v>
      </c>
      <c r="B128" t="s">
        <v>102</v>
      </c>
      <c r="C128">
        <f t="shared" si="21"/>
        <v>0</v>
      </c>
      <c r="D128">
        <v>0</v>
      </c>
      <c r="E128">
        <f t="shared" si="23"/>
        <v>0</v>
      </c>
    </row>
    <row r="129" spans="1:9" x14ac:dyDescent="0.3">
      <c r="A129" t="s">
        <v>81</v>
      </c>
      <c r="B129" t="s">
        <v>82</v>
      </c>
      <c r="C129">
        <f t="shared" si="21"/>
        <v>0</v>
      </c>
      <c r="D129">
        <f>C129*D59</f>
        <v>0</v>
      </c>
      <c r="E129">
        <f t="shared" si="23"/>
        <v>0</v>
      </c>
    </row>
    <row r="130" spans="1:9" x14ac:dyDescent="0.3">
      <c r="A130" t="s">
        <v>83</v>
      </c>
      <c r="B130" t="s">
        <v>84</v>
      </c>
      <c r="C130">
        <f t="shared" si="21"/>
        <v>0</v>
      </c>
      <c r="D130">
        <f>C130*D60</f>
        <v>0</v>
      </c>
      <c r="E130">
        <f t="shared" si="23"/>
        <v>0</v>
      </c>
    </row>
    <row r="131" spans="1:9" x14ac:dyDescent="0.3">
      <c r="A131" t="s">
        <v>83</v>
      </c>
      <c r="B131" t="s">
        <v>85</v>
      </c>
      <c r="C131">
        <f t="shared" si="21"/>
        <v>0</v>
      </c>
      <c r="D131">
        <f>C131*D61</f>
        <v>0</v>
      </c>
      <c r="E131">
        <f t="shared" si="23"/>
        <v>0</v>
      </c>
    </row>
    <row r="132" spans="1:9" x14ac:dyDescent="0.3">
      <c r="A132" t="s">
        <v>83</v>
      </c>
      <c r="B132" t="s">
        <v>86</v>
      </c>
      <c r="C132">
        <f t="shared" si="21"/>
        <v>0</v>
      </c>
      <c r="D132">
        <f>C132*D62</f>
        <v>0</v>
      </c>
      <c r="E132">
        <f t="shared" si="23"/>
        <v>0</v>
      </c>
    </row>
    <row r="133" spans="1:9" x14ac:dyDescent="0.3">
      <c r="A133" t="s">
        <v>87</v>
      </c>
      <c r="B133" t="s">
        <v>88</v>
      </c>
      <c r="C133">
        <f t="shared" si="21"/>
        <v>0</v>
      </c>
      <c r="D133">
        <f>C133*D63</f>
        <v>0</v>
      </c>
      <c r="E133">
        <f t="shared" si="23"/>
        <v>0</v>
      </c>
    </row>
    <row r="141" spans="1:9" x14ac:dyDescent="0.3">
      <c r="D141" s="1" t="s">
        <v>10</v>
      </c>
      <c r="E141" s="1" t="s">
        <v>93</v>
      </c>
    </row>
    <row r="142" spans="1:9" x14ac:dyDescent="0.3">
      <c r="D142" t="e">
        <f t="shared" ref="D142:E142" si="24">SUM(D77:D133)</f>
        <v>#REF!</v>
      </c>
      <c r="E142" t="e">
        <f t="shared" si="24"/>
        <v>#REF!</v>
      </c>
      <c r="H142" t="e">
        <f>SUM(D142:E142)</f>
        <v>#REF!</v>
      </c>
      <c r="I142" s="3" t="e">
        <f>H142/H73</f>
        <v>#REF!</v>
      </c>
    </row>
    <row r="143" spans="1:9" x14ac:dyDescent="0.3">
      <c r="D143" s="3" t="e">
        <f t="shared" ref="D143:E143" si="25">D142/D73</f>
        <v>#REF!</v>
      </c>
      <c r="E143" s="3" t="e">
        <f t="shared" si="25"/>
        <v>#REF!</v>
      </c>
      <c r="H143" s="3" t="e">
        <f>H142/F73</f>
        <v>#REF!</v>
      </c>
      <c r="I143" t="s">
        <v>97</v>
      </c>
    </row>
    <row r="213" spans="1:3" x14ac:dyDescent="0.3">
      <c r="A213" s="1" t="s">
        <v>0</v>
      </c>
      <c r="B213" s="1" t="s">
        <v>90</v>
      </c>
      <c r="C213" s="1"/>
    </row>
    <row r="214" spans="1:3" x14ac:dyDescent="0.3">
      <c r="A214" t="s">
        <v>13</v>
      </c>
      <c r="B214">
        <v>3</v>
      </c>
    </row>
    <row r="215" spans="1:3" x14ac:dyDescent="0.3">
      <c r="A215" t="s">
        <v>17</v>
      </c>
      <c r="B215">
        <v>1</v>
      </c>
    </row>
    <row r="216" spans="1:3" x14ac:dyDescent="0.3">
      <c r="A216" t="s">
        <v>19</v>
      </c>
      <c r="B216">
        <v>2</v>
      </c>
    </row>
    <row r="217" spans="1:3" x14ac:dyDescent="0.3">
      <c r="A217" t="s">
        <v>22</v>
      </c>
      <c r="B217">
        <v>5</v>
      </c>
    </row>
    <row r="218" spans="1:3" x14ac:dyDescent="0.3">
      <c r="A218" t="s">
        <v>28</v>
      </c>
      <c r="B218">
        <v>1</v>
      </c>
    </row>
    <row r="219" spans="1:3" x14ac:dyDescent="0.3">
      <c r="A219" t="s">
        <v>30</v>
      </c>
      <c r="B219">
        <v>5</v>
      </c>
    </row>
    <row r="220" spans="1:3" x14ac:dyDescent="0.3">
      <c r="A220" t="s">
        <v>36</v>
      </c>
      <c r="B220">
        <v>1</v>
      </c>
    </row>
    <row r="221" spans="1:3" x14ac:dyDescent="0.3">
      <c r="A221" t="s">
        <v>38</v>
      </c>
      <c r="B221">
        <v>1</v>
      </c>
    </row>
    <row r="222" spans="1:3" x14ac:dyDescent="0.3">
      <c r="A222" t="s">
        <v>40</v>
      </c>
      <c r="B222">
        <v>3</v>
      </c>
    </row>
    <row r="223" spans="1:3" x14ac:dyDescent="0.3">
      <c r="A223" t="s">
        <v>44</v>
      </c>
      <c r="B223">
        <v>5</v>
      </c>
    </row>
    <row r="224" spans="1:3" x14ac:dyDescent="0.3">
      <c r="A224" t="s">
        <v>50</v>
      </c>
      <c r="B224">
        <v>1</v>
      </c>
    </row>
    <row r="225" spans="1:3" x14ac:dyDescent="0.3">
      <c r="A225" t="s">
        <v>52</v>
      </c>
      <c r="B225">
        <v>1</v>
      </c>
    </row>
    <row r="226" spans="1:3" x14ac:dyDescent="0.3">
      <c r="A226" t="s">
        <v>91</v>
      </c>
      <c r="B226">
        <v>1</v>
      </c>
    </row>
    <row r="227" spans="1:3" x14ac:dyDescent="0.3">
      <c r="A227" t="s">
        <v>56</v>
      </c>
      <c r="B227">
        <v>2</v>
      </c>
    </row>
    <row r="228" spans="1:3" x14ac:dyDescent="0.3">
      <c r="A228" t="s">
        <v>59</v>
      </c>
      <c r="B228">
        <v>3</v>
      </c>
    </row>
    <row r="229" spans="1:3" x14ac:dyDescent="0.3">
      <c r="A229" t="s">
        <v>92</v>
      </c>
      <c r="B229">
        <v>1</v>
      </c>
    </row>
    <row r="230" spans="1:3" x14ac:dyDescent="0.3">
      <c r="A230" t="s">
        <v>65</v>
      </c>
      <c r="B230">
        <v>4</v>
      </c>
    </row>
    <row r="231" spans="1:3" x14ac:dyDescent="0.3">
      <c r="A231" t="s">
        <v>70</v>
      </c>
      <c r="B231">
        <v>3</v>
      </c>
    </row>
    <row r="232" spans="1:3" x14ac:dyDescent="0.3">
      <c r="A232" t="s">
        <v>74</v>
      </c>
      <c r="B232">
        <v>3</v>
      </c>
    </row>
    <row r="233" spans="1:3" x14ac:dyDescent="0.3">
      <c r="A233" t="s">
        <v>78</v>
      </c>
      <c r="B233">
        <v>2</v>
      </c>
    </row>
    <row r="234" spans="1:3" x14ac:dyDescent="0.3">
      <c r="A234" t="s">
        <v>81</v>
      </c>
      <c r="B234">
        <v>1</v>
      </c>
    </row>
    <row r="235" spans="1:3" x14ac:dyDescent="0.3">
      <c r="A235" t="s">
        <v>83</v>
      </c>
      <c r="B235">
        <v>3</v>
      </c>
    </row>
    <row r="236" spans="1:3" x14ac:dyDescent="0.3">
      <c r="A236" t="s">
        <v>87</v>
      </c>
      <c r="B236">
        <v>1</v>
      </c>
    </row>
    <row r="238" spans="1:3" x14ac:dyDescent="0.3">
      <c r="A238" s="1"/>
      <c r="B238" s="1">
        <f>SUM(B214:B236)</f>
        <v>53</v>
      </c>
      <c r="C238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2026-07-01T05:57:26Z</dcterms:modified>
</cp:coreProperties>
</file>
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C4E23CC-D3F6-4D5E-833F-F09221F23C07}" xr6:coauthVersionLast="47" xr6:coauthVersionMax="47" xr10:uidLastSave="{00000000-0000-0000-0000-000000000000}"/>
  <bookViews>
    <workbookView xWindow="768" yWindow="768" windowWidth="20952" windowHeight="1281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8" i="1" l="1"/>
  <c r="C188" i="1"/>
  <c r="B188" i="1"/>
  <c r="Q70" i="1"/>
  <c r="P68" i="1"/>
  <c r="P70" i="1" s="1"/>
  <c r="O68" i="1"/>
  <c r="N68" i="1"/>
  <c r="N69" i="1" s="1"/>
  <c r="C187" i="1"/>
  <c r="D91" i="1"/>
  <c r="D187" i="1"/>
  <c r="B187" i="1"/>
  <c r="P151" i="1"/>
  <c r="M151" i="1"/>
  <c r="L151" i="1"/>
  <c r="K151" i="1"/>
  <c r="J151" i="1"/>
  <c r="I151" i="1"/>
  <c r="H151" i="1"/>
  <c r="G151" i="1"/>
  <c r="F151" i="1"/>
  <c r="E151" i="1"/>
  <c r="D151" i="1"/>
  <c r="Q151" i="1"/>
  <c r="Q147" i="1"/>
  <c r="P147" i="1"/>
  <c r="M147" i="1"/>
  <c r="L147" i="1"/>
  <c r="K147" i="1"/>
  <c r="J147" i="1"/>
  <c r="I147" i="1"/>
  <c r="H147" i="1"/>
  <c r="G147" i="1"/>
  <c r="F147" i="1"/>
  <c r="E147" i="1"/>
  <c r="D147" i="1"/>
  <c r="C147" i="1"/>
  <c r="O69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P69" i="1" l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P85" i="1" l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C186" i="1" l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38" i="2"/>
  <c r="D139" i="2" s="1"/>
  <c r="E138" i="2"/>
  <c r="E139" i="2" s="1"/>
  <c r="H69" i="2"/>
  <c r="I69" i="2" s="1"/>
  <c r="I68" i="2"/>
  <c r="I61" i="2"/>
  <c r="D152" i="1"/>
  <c r="E152" i="1"/>
  <c r="I152" i="1"/>
  <c r="H152" i="1"/>
  <c r="P2" i="1"/>
  <c r="O67" i="1"/>
  <c r="P67" i="1" s="1"/>
  <c r="Q86" i="1" l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G138" i="2"/>
  <c r="L111" i="1" l="1"/>
  <c r="G139" i="2"/>
  <c r="H138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<sst xmlns="http://schemas.openxmlformats.org/spreadsheetml/2006/main" count="545" uniqueCount="138">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</sst>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0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abSelected="1" topLeftCell="A175" workbookViewId="0">
      <selection activeCell="D188" sqref="D188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8" bestFit="1" customWidth="1"/>
    <col min="19" max="30" width="8.88671875" style="18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1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8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9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9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</row>
    <row r="25" spans="1:30" s="18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9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</row>
    <row r="27" spans="1:30" s="18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9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</row>
    <row r="29" spans="1:30" s="18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9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</row>
    <row r="31" spans="1:30" s="18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8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8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8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8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8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9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9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 spans="1:30" s="18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9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</row>
    <row r="42" spans="1:30" s="18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9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 spans="1:30" s="18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8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9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9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 spans="1:30" s="18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9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9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 spans="1:30" s="18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8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8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9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9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 spans="1:30" s="18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8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8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9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 spans="1:30" s="18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8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8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9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14">
        <f t="shared" si="2"/>
        <v>0</v>
      </c>
      <c r="O68" s="14">
        <f t="shared" si="0"/>
        <v>0</v>
      </c>
      <c r="P68" s="14">
        <f t="shared" si="1"/>
        <v>0</v>
      </c>
      <c r="Q68" s="6">
        <v>0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166</v>
      </c>
      <c r="O69" s="6">
        <f>SUM(O2:O68)</f>
        <v>12729</v>
      </c>
      <c r="P69" s="6">
        <f>SUM(P2:P68)</f>
        <v>25458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25458</v>
      </c>
      <c r="Q70" s="13">
        <f>SUM(Q2:Q68)</f>
        <v>66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>C2*2</f>
        <v>16</v>
      </c>
      <c r="D81" s="8">
        <f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>C3*2</f>
        <v>2</v>
      </c>
      <c r="D82" s="8">
        <f>C82*D3</f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>C82*M3</f>
        <v>0</v>
      </c>
      <c r="N82" s="8"/>
      <c r="O82" s="8"/>
      <c r="P82" s="8">
        <f t="shared" ref="P82:P147" si="7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>C4*2</f>
        <v>16</v>
      </c>
      <c r="D83" s="8">
        <f>C83*D4</f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>C83*M4</f>
        <v>0</v>
      </c>
      <c r="N83" s="8"/>
      <c r="O83" s="8"/>
      <c r="P83" s="8">
        <f t="shared" si="7"/>
        <v>80</v>
      </c>
      <c r="Q83" s="8"/>
    </row>
    <row r="84" spans="1:17" x14ac:dyDescent="0.3">
      <c r="A84" s="6" t="s">
        <v>17</v>
      </c>
      <c r="B84" s="6" t="s">
        <v>18</v>
      </c>
      <c r="C84" s="6">
        <f>C5*2</f>
        <v>564</v>
      </c>
      <c r="D84" s="6">
        <f>C84*D5</f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>C84*M5</f>
        <v>564</v>
      </c>
      <c r="N84" s="6"/>
      <c r="O84" s="14"/>
      <c r="P84" s="14">
        <f t="shared" si="7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>C6*2</f>
        <v>148</v>
      </c>
      <c r="D85" s="8">
        <f>C85*D6</f>
        <v>0</v>
      </c>
      <c r="E85" s="8">
        <f t="shared" ref="E85:L85" si="8">D85*E6</f>
        <v>0</v>
      </c>
      <c r="F85" s="8">
        <f t="shared" si="8"/>
        <v>0</v>
      </c>
      <c r="G85" s="8">
        <f t="shared" si="8"/>
        <v>0</v>
      </c>
      <c r="H85" s="8">
        <f t="shared" si="8"/>
        <v>0</v>
      </c>
      <c r="I85" s="8">
        <f t="shared" si="8"/>
        <v>0</v>
      </c>
      <c r="J85" s="8">
        <f t="shared" si="8"/>
        <v>0</v>
      </c>
      <c r="K85" s="8">
        <f t="shared" si="8"/>
        <v>0</v>
      </c>
      <c r="L85" s="8">
        <f t="shared" si="8"/>
        <v>0</v>
      </c>
      <c r="M85" s="8">
        <f>C85*M6</f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>C7*2</f>
        <v>278</v>
      </c>
      <c r="D86" s="14">
        <f>C86*D7</f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>C86*L7</f>
        <v>0</v>
      </c>
      <c r="M86" s="14">
        <f>C86*M7</f>
        <v>834</v>
      </c>
      <c r="N86" s="14"/>
      <c r="O86" s="14"/>
      <c r="P86" s="14">
        <f t="shared" si="7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>C8*2</f>
        <v>282</v>
      </c>
      <c r="D87" s="14">
        <f>C87*D8</f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>C87*L8</f>
        <v>0</v>
      </c>
      <c r="M87" s="14">
        <f>C87*M8</f>
        <v>0</v>
      </c>
      <c r="N87" s="14"/>
      <c r="O87" s="14"/>
      <c r="P87" s="14">
        <f t="shared" si="7"/>
        <v>282</v>
      </c>
      <c r="Q87" s="14"/>
    </row>
    <row r="88" spans="1:17" x14ac:dyDescent="0.3">
      <c r="A88" s="14" t="s">
        <v>19</v>
      </c>
      <c r="B88" s="14" t="s">
        <v>135</v>
      </c>
      <c r="C88" s="14">
        <f>C9*2</f>
        <v>276</v>
      </c>
      <c r="D88" s="14">
        <f>C88*D9</f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>C88*L9</f>
        <v>0</v>
      </c>
      <c r="M88" s="14">
        <f>C88*M9</f>
        <v>276</v>
      </c>
      <c r="N88" s="14"/>
      <c r="O88" s="14"/>
      <c r="P88" s="14">
        <f t="shared" si="7"/>
        <v>276</v>
      </c>
      <c r="Q88" s="14"/>
    </row>
    <row r="89" spans="1:17" x14ac:dyDescent="0.3">
      <c r="A89" s="14" t="s">
        <v>19</v>
      </c>
      <c r="B89" s="14" t="s">
        <v>133</v>
      </c>
      <c r="C89" s="14">
        <f>C10*2</f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>C89*L10</f>
        <v>292</v>
      </c>
      <c r="M89" s="14">
        <f>C89*M10</f>
        <v>0</v>
      </c>
      <c r="N89" s="14"/>
      <c r="O89" s="14"/>
      <c r="P89" s="14">
        <f t="shared" si="7"/>
        <v>292</v>
      </c>
      <c r="Q89" s="14"/>
    </row>
    <row r="90" spans="1:17" x14ac:dyDescent="0.3">
      <c r="A90" s="8" t="s">
        <v>22</v>
      </c>
      <c r="B90" s="8" t="s">
        <v>23</v>
      </c>
      <c r="C90" s="8">
        <f>C11*2</f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>C90*L11</f>
        <v>0</v>
      </c>
      <c r="M90" s="8">
        <f>C90*M11</f>
        <v>0</v>
      </c>
      <c r="N90" s="8"/>
      <c r="O90" s="8"/>
      <c r="P90" s="8">
        <f t="shared" si="7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>C12*2</f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>C91*L12</f>
        <v>0</v>
      </c>
      <c r="M91" s="8">
        <f>C91*M12</f>
        <v>0</v>
      </c>
      <c r="N91" s="8"/>
      <c r="O91" s="8"/>
      <c r="P91" s="8">
        <f t="shared" si="7"/>
        <v>92</v>
      </c>
      <c r="Q91" s="8"/>
    </row>
    <row r="92" spans="1:17" x14ac:dyDescent="0.3">
      <c r="A92" s="8" t="s">
        <v>22</v>
      </c>
      <c r="B92" s="8" t="s">
        <v>25</v>
      </c>
      <c r="C92" s="8">
        <f>C13*2</f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>C92*L13</f>
        <v>0</v>
      </c>
      <c r="M92" s="8">
        <f>C92*M13</f>
        <v>840</v>
      </c>
      <c r="N92" s="8"/>
      <c r="O92" s="8"/>
      <c r="P92" s="8">
        <f t="shared" si="7"/>
        <v>924</v>
      </c>
      <c r="Q92" s="8"/>
    </row>
    <row r="93" spans="1:17" x14ac:dyDescent="0.3">
      <c r="A93" s="8" t="s">
        <v>22</v>
      </c>
      <c r="B93" s="8" t="s">
        <v>26</v>
      </c>
      <c r="C93" s="8">
        <f>C14*2</f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>C93*L14</f>
        <v>0</v>
      </c>
      <c r="M93" s="8">
        <f>C93*M14</f>
        <v>0</v>
      </c>
      <c r="N93" s="8"/>
      <c r="O93" s="8"/>
      <c r="P93" s="8">
        <f t="shared" si="7"/>
        <v>120</v>
      </c>
      <c r="Q93" s="8"/>
    </row>
    <row r="94" spans="1:17" x14ac:dyDescent="0.3">
      <c r="A94" s="8" t="s">
        <v>22</v>
      </c>
      <c r="B94" s="8" t="s">
        <v>27</v>
      </c>
      <c r="C94" s="8">
        <f>C15*2</f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>C94*L15</f>
        <v>0</v>
      </c>
      <c r="M94" s="8">
        <f>C94*M15</f>
        <v>0</v>
      </c>
      <c r="N94" s="8"/>
      <c r="O94" s="8"/>
      <c r="P94" s="8">
        <f t="shared" si="7"/>
        <v>86</v>
      </c>
      <c r="Q94" s="8"/>
    </row>
    <row r="95" spans="1:17" x14ac:dyDescent="0.3">
      <c r="A95" s="14" t="s">
        <v>125</v>
      </c>
      <c r="B95" s="14" t="s">
        <v>126</v>
      </c>
      <c r="C95" s="14">
        <f>C16*2</f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7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>C17*2</f>
        <v>370</v>
      </c>
      <c r="D96" s="8">
        <f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>C96*M17</f>
        <v>370</v>
      </c>
      <c r="N96" s="8"/>
      <c r="O96" s="8"/>
      <c r="P96" s="8">
        <f t="shared" si="7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>C18*2</f>
        <v>416</v>
      </c>
      <c r="D97" s="8">
        <f>C97*D18</f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>C97*M18</f>
        <v>0</v>
      </c>
      <c r="N97" s="8"/>
      <c r="O97" s="8"/>
      <c r="P97" s="8">
        <f t="shared" si="7"/>
        <v>832</v>
      </c>
      <c r="Q97" s="8"/>
    </row>
    <row r="98" spans="1:30" s="18" customFormat="1" x14ac:dyDescent="0.3">
      <c r="A98" s="14" t="s">
        <v>131</v>
      </c>
      <c r="B98" s="14" t="s">
        <v>132</v>
      </c>
      <c r="C98" s="14">
        <f>C19*2</f>
        <v>236</v>
      </c>
      <c r="D98" s="14">
        <f>C98*D19</f>
        <v>0</v>
      </c>
      <c r="E98" s="14">
        <f t="shared" ref="E98:L98" si="9">D98*E19</f>
        <v>0</v>
      </c>
      <c r="F98" s="14">
        <f t="shared" si="9"/>
        <v>0</v>
      </c>
      <c r="G98" s="14">
        <f t="shared" si="9"/>
        <v>0</v>
      </c>
      <c r="H98" s="14">
        <f t="shared" si="9"/>
        <v>0</v>
      </c>
      <c r="I98" s="14">
        <f t="shared" si="9"/>
        <v>0</v>
      </c>
      <c r="J98" s="14">
        <f t="shared" si="9"/>
        <v>0</v>
      </c>
      <c r="K98" s="14">
        <f t="shared" si="9"/>
        <v>0</v>
      </c>
      <c r="L98" s="14">
        <f t="shared" si="9"/>
        <v>0</v>
      </c>
      <c r="M98" s="14">
        <f>C98*M19</f>
        <v>236</v>
      </c>
      <c r="N98" s="14"/>
      <c r="O98" s="14"/>
      <c r="P98" s="14">
        <f t="shared" si="7"/>
        <v>236</v>
      </c>
      <c r="Q98" s="14">
        <f>P98</f>
        <v>236</v>
      </c>
    </row>
    <row r="99" spans="1:30" s="18" customFormat="1" x14ac:dyDescent="0.3">
      <c r="A99" s="8" t="s">
        <v>30</v>
      </c>
      <c r="B99" s="8" t="s">
        <v>31</v>
      </c>
      <c r="C99" s="8">
        <f>C20*2</f>
        <v>110</v>
      </c>
      <c r="D99" s="8">
        <f>C99*D20</f>
        <v>0</v>
      </c>
      <c r="E99" s="8">
        <f>C99*E20</f>
        <v>110</v>
      </c>
      <c r="F99" s="8">
        <f>C99*F20</f>
        <v>110</v>
      </c>
      <c r="G99" s="8">
        <f>C99*G20</f>
        <v>0</v>
      </c>
      <c r="H99" s="8">
        <f>C99*H20</f>
        <v>0</v>
      </c>
      <c r="I99" s="8">
        <f>C99*I20</f>
        <v>0</v>
      </c>
      <c r="J99" s="8">
        <f>C99*J20</f>
        <v>0</v>
      </c>
      <c r="K99" s="8">
        <f>C99*K20</f>
        <v>0</v>
      </c>
      <c r="L99" s="8">
        <f>C99*L20</f>
        <v>0</v>
      </c>
      <c r="M99" s="8">
        <f>C99*M20</f>
        <v>0</v>
      </c>
      <c r="N99" s="8"/>
      <c r="O99" s="8"/>
      <c r="P99" s="8">
        <f t="shared" si="7"/>
        <v>220</v>
      </c>
      <c r="Q99" s="8">
        <f>SUM(P99:P103)</f>
        <v>906</v>
      </c>
    </row>
    <row r="100" spans="1:30" s="18" customFormat="1" x14ac:dyDescent="0.3">
      <c r="A100" s="8" t="s">
        <v>30</v>
      </c>
      <c r="B100" s="8" t="s">
        <v>32</v>
      </c>
      <c r="C100" s="8">
        <f>C21*2</f>
        <v>108</v>
      </c>
      <c r="D100" s="8">
        <f>C100*D21</f>
        <v>0</v>
      </c>
      <c r="E100" s="8">
        <f>C100*E21</f>
        <v>0</v>
      </c>
      <c r="F100" s="8">
        <f>C100*F21</f>
        <v>0</v>
      </c>
      <c r="G100" s="8">
        <f>C100*G21</f>
        <v>108</v>
      </c>
      <c r="H100" s="8">
        <f>C100*H21</f>
        <v>0</v>
      </c>
      <c r="I100" s="8">
        <f>C100*I21</f>
        <v>0</v>
      </c>
      <c r="J100" s="8">
        <f>C100*J21</f>
        <v>0</v>
      </c>
      <c r="K100" s="8">
        <f>C100*K21</f>
        <v>0</v>
      </c>
      <c r="L100" s="8">
        <f>C100*L21</f>
        <v>0</v>
      </c>
      <c r="M100" s="8">
        <f>C100*M21</f>
        <v>0</v>
      </c>
      <c r="N100" s="8"/>
      <c r="O100" s="8"/>
      <c r="P100" s="8">
        <f t="shared" si="7"/>
        <v>108</v>
      </c>
      <c r="Q100" s="8"/>
    </row>
    <row r="101" spans="1:30" s="18" customFormat="1" x14ac:dyDescent="0.3">
      <c r="A101" s="8" t="s">
        <v>30</v>
      </c>
      <c r="B101" s="8" t="s">
        <v>33</v>
      </c>
      <c r="C101" s="8">
        <f>C22*2</f>
        <v>110</v>
      </c>
      <c r="D101" s="8">
        <f>C101*D22</f>
        <v>0</v>
      </c>
      <c r="E101" s="8">
        <f>C101*E22</f>
        <v>110</v>
      </c>
      <c r="F101" s="8">
        <f>C101*F22</f>
        <v>0</v>
      </c>
      <c r="G101" s="8">
        <f>C101*G22</f>
        <v>0</v>
      </c>
      <c r="H101" s="8">
        <f>C101*H22</f>
        <v>0</v>
      </c>
      <c r="I101" s="8">
        <f>C101*I22</f>
        <v>0</v>
      </c>
      <c r="J101" s="8">
        <f>C101*J22</f>
        <v>0</v>
      </c>
      <c r="K101" s="8">
        <f>C101*K22</f>
        <v>0</v>
      </c>
      <c r="L101" s="8">
        <f>C101*L22</f>
        <v>0</v>
      </c>
      <c r="M101" s="8">
        <f>C101*M22</f>
        <v>0</v>
      </c>
      <c r="N101" s="8"/>
      <c r="O101" s="8"/>
      <c r="P101" s="8">
        <f t="shared" si="7"/>
        <v>110</v>
      </c>
      <c r="Q101" s="8"/>
    </row>
    <row r="102" spans="1:30" s="18" customFormat="1" x14ac:dyDescent="0.3">
      <c r="A102" s="8" t="s">
        <v>30</v>
      </c>
      <c r="B102" s="8" t="s">
        <v>34</v>
      </c>
      <c r="C102" s="8">
        <f>C23*2</f>
        <v>92</v>
      </c>
      <c r="D102" s="8">
        <f>C102*D23</f>
        <v>0</v>
      </c>
      <c r="E102" s="8">
        <f>C102*E23</f>
        <v>0</v>
      </c>
      <c r="F102" s="8">
        <f>C102*F23</f>
        <v>0</v>
      </c>
      <c r="G102" s="8">
        <f>C102*G23</f>
        <v>0</v>
      </c>
      <c r="H102" s="8">
        <f>C102*H23</f>
        <v>0</v>
      </c>
      <c r="I102" s="8">
        <f>C102*I23</f>
        <v>0</v>
      </c>
      <c r="J102" s="8">
        <f>C102*J23</f>
        <v>92</v>
      </c>
      <c r="K102" s="8">
        <f>C102*K23</f>
        <v>0</v>
      </c>
      <c r="L102" s="8">
        <f>C102*L23</f>
        <v>0</v>
      </c>
      <c r="M102" s="8">
        <f>C102*M23</f>
        <v>0</v>
      </c>
      <c r="N102" s="8"/>
      <c r="O102" s="8"/>
      <c r="P102" s="8">
        <f t="shared" si="7"/>
        <v>92</v>
      </c>
      <c r="Q102" s="8"/>
    </row>
    <row r="103" spans="1:30" s="18" customFormat="1" x14ac:dyDescent="0.3">
      <c r="A103" s="8" t="s">
        <v>30</v>
      </c>
      <c r="B103" s="8" t="s">
        <v>35</v>
      </c>
      <c r="C103" s="8">
        <f>C24*2</f>
        <v>94</v>
      </c>
      <c r="D103" s="8">
        <f>C103*D24</f>
        <v>0</v>
      </c>
      <c r="E103" s="8">
        <f>C103*E24</f>
        <v>0</v>
      </c>
      <c r="F103" s="8">
        <f>C103*F24</f>
        <v>0</v>
      </c>
      <c r="G103" s="8">
        <f>C103*G24</f>
        <v>0</v>
      </c>
      <c r="H103" s="8">
        <f>C103*H24</f>
        <v>94</v>
      </c>
      <c r="I103" s="8">
        <f>C103*I24</f>
        <v>188</v>
      </c>
      <c r="J103" s="8">
        <f>C103*J24</f>
        <v>0</v>
      </c>
      <c r="K103" s="8">
        <f>C103*K24</f>
        <v>94</v>
      </c>
      <c r="L103" s="8">
        <f>C103*L24</f>
        <v>0</v>
      </c>
      <c r="M103" s="8">
        <f>C103*M24</f>
        <v>0</v>
      </c>
      <c r="N103" s="8"/>
      <c r="O103" s="8"/>
      <c r="P103" s="8">
        <f t="shared" si="7"/>
        <v>376</v>
      </c>
      <c r="Q103" s="8"/>
    </row>
    <row r="104" spans="1:30" s="18" customFormat="1" x14ac:dyDescent="0.3">
      <c r="A104" s="14" t="s">
        <v>98</v>
      </c>
      <c r="B104" s="14" t="s">
        <v>101</v>
      </c>
      <c r="C104" s="14">
        <f>C25*2</f>
        <v>800</v>
      </c>
      <c r="D104" s="14">
        <f>C104*D25</f>
        <v>0</v>
      </c>
      <c r="E104" s="14">
        <f>C104*E25</f>
        <v>0</v>
      </c>
      <c r="F104" s="14">
        <f>C104*F25</f>
        <v>0</v>
      </c>
      <c r="G104" s="14">
        <f>C104*G25</f>
        <v>0</v>
      </c>
      <c r="H104" s="14">
        <f>C104*H25</f>
        <v>0</v>
      </c>
      <c r="I104" s="14">
        <f>C104*I25</f>
        <v>0</v>
      </c>
      <c r="J104" s="14">
        <f>C104*J25</f>
        <v>0</v>
      </c>
      <c r="K104" s="14">
        <f>C104*K25</f>
        <v>0</v>
      </c>
      <c r="L104" s="14">
        <f>C104*L25</f>
        <v>800</v>
      </c>
      <c r="M104" s="14">
        <f>C104*M25</f>
        <v>0</v>
      </c>
      <c r="N104" s="14"/>
      <c r="O104" s="14"/>
      <c r="P104" s="14">
        <f t="shared" si="7"/>
        <v>800</v>
      </c>
      <c r="Q104" s="14">
        <f t="shared" ref="Q104:Q109" si="10">P104</f>
        <v>800</v>
      </c>
    </row>
    <row r="105" spans="1:30" s="19" customFormat="1" x14ac:dyDescent="0.3">
      <c r="A105" s="8" t="s">
        <v>36</v>
      </c>
      <c r="B105" s="8" t="s">
        <v>37</v>
      </c>
      <c r="C105" s="8">
        <f>C26*2</f>
        <v>726</v>
      </c>
      <c r="D105" s="8">
        <f>C105*D26</f>
        <v>0</v>
      </c>
      <c r="E105" s="8">
        <f>C105*E26</f>
        <v>0</v>
      </c>
      <c r="F105" s="8">
        <f>C105*F26</f>
        <v>0</v>
      </c>
      <c r="G105" s="8">
        <f>C105*G26</f>
        <v>0</v>
      </c>
      <c r="H105" s="8">
        <f>C105*H26</f>
        <v>0</v>
      </c>
      <c r="I105" s="8">
        <f>C105*I26</f>
        <v>0</v>
      </c>
      <c r="J105" s="8">
        <f>C105*J26</f>
        <v>0</v>
      </c>
      <c r="K105" s="8">
        <f>C105*K26</f>
        <v>726</v>
      </c>
      <c r="L105" s="8">
        <f>C105*L26</f>
        <v>0</v>
      </c>
      <c r="M105" s="8">
        <f>C105*M26</f>
        <v>0</v>
      </c>
      <c r="N105" s="8"/>
      <c r="O105" s="8"/>
      <c r="P105" s="8">
        <f t="shared" si="7"/>
        <v>726</v>
      </c>
      <c r="Q105" s="8">
        <f t="shared" si="10"/>
        <v>726</v>
      </c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</row>
    <row r="106" spans="1:30" s="18" customFormat="1" x14ac:dyDescent="0.3">
      <c r="A106" s="14" t="s">
        <v>96</v>
      </c>
      <c r="B106" s="14" t="s">
        <v>95</v>
      </c>
      <c r="C106" s="14">
        <f>C27*2</f>
        <v>186</v>
      </c>
      <c r="D106" s="14">
        <f>C106*D27</f>
        <v>0</v>
      </c>
      <c r="E106" s="14">
        <f>C106*E27</f>
        <v>0</v>
      </c>
      <c r="F106" s="14">
        <f>C106*F27</f>
        <v>0</v>
      </c>
      <c r="G106" s="14">
        <f>C106*G27</f>
        <v>0</v>
      </c>
      <c r="H106" s="14">
        <f>C106*H27</f>
        <v>0</v>
      </c>
      <c r="I106" s="14">
        <f>C106*I27</f>
        <v>0</v>
      </c>
      <c r="J106" s="14">
        <f>C106*J27</f>
        <v>0</v>
      </c>
      <c r="K106" s="14">
        <f>C106*K27</f>
        <v>0</v>
      </c>
      <c r="L106" s="14">
        <f>C106*L27</f>
        <v>0</v>
      </c>
      <c r="M106" s="14">
        <f>C106*M27</f>
        <v>186</v>
      </c>
      <c r="N106" s="14"/>
      <c r="O106" s="14"/>
      <c r="P106" s="14">
        <f t="shared" si="7"/>
        <v>186</v>
      </c>
      <c r="Q106" s="14">
        <f>P106</f>
        <v>186</v>
      </c>
    </row>
    <row r="107" spans="1:30" s="19" customFormat="1" x14ac:dyDescent="0.3">
      <c r="A107" s="8" t="s">
        <v>122</v>
      </c>
      <c r="B107" s="8" t="s">
        <v>123</v>
      </c>
      <c r="C107" s="8">
        <f>C28*2</f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C107*M28</f>
        <v>348</v>
      </c>
      <c r="N107" s="8"/>
      <c r="O107" s="8"/>
      <c r="P107" s="8">
        <f>SUM(D107:M107)</f>
        <v>348</v>
      </c>
      <c r="Q107" s="8">
        <f>P107</f>
        <v>348</v>
      </c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</row>
    <row r="108" spans="1:30" s="18" customFormat="1" x14ac:dyDescent="0.3">
      <c r="A108" s="14" t="s">
        <v>99</v>
      </c>
      <c r="B108" s="14" t="s">
        <v>100</v>
      </c>
      <c r="C108" s="14">
        <f>C29*2</f>
        <v>418</v>
      </c>
      <c r="D108" s="14">
        <f t="shared" ref="D108:K108" si="11">C108*D30</f>
        <v>0</v>
      </c>
      <c r="E108" s="14">
        <f t="shared" si="11"/>
        <v>0</v>
      </c>
      <c r="F108" s="14">
        <f t="shared" si="11"/>
        <v>0</v>
      </c>
      <c r="G108" s="14">
        <f t="shared" si="11"/>
        <v>0</v>
      </c>
      <c r="H108" s="14">
        <f t="shared" si="11"/>
        <v>0</v>
      </c>
      <c r="I108" s="14">
        <f t="shared" si="11"/>
        <v>0</v>
      </c>
      <c r="J108" s="14">
        <f t="shared" si="11"/>
        <v>0</v>
      </c>
      <c r="K108" s="14">
        <f t="shared" si="11"/>
        <v>0</v>
      </c>
      <c r="L108" s="14">
        <f>C108*L29</f>
        <v>418</v>
      </c>
      <c r="M108" s="14">
        <f>C108*M29</f>
        <v>0</v>
      </c>
      <c r="N108" s="14"/>
      <c r="O108" s="14"/>
      <c r="P108" s="14">
        <f t="shared" si="7"/>
        <v>418</v>
      </c>
      <c r="Q108" s="14">
        <f t="shared" si="10"/>
        <v>418</v>
      </c>
    </row>
    <row r="109" spans="1:30" s="19" customFormat="1" x14ac:dyDescent="0.3">
      <c r="A109" s="8" t="s">
        <v>38</v>
      </c>
      <c r="B109" s="8" t="s">
        <v>39</v>
      </c>
      <c r="C109" s="8">
        <f>C30*2</f>
        <v>516</v>
      </c>
      <c r="D109" s="8">
        <f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>C109*M30</f>
        <v>0</v>
      </c>
      <c r="N109" s="8"/>
      <c r="O109" s="8"/>
      <c r="P109" s="8">
        <f t="shared" si="7"/>
        <v>516</v>
      </c>
      <c r="Q109" s="8">
        <f t="shared" si="10"/>
        <v>516</v>
      </c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</row>
    <row r="110" spans="1:30" s="18" customFormat="1" x14ac:dyDescent="0.3">
      <c r="A110" s="14" t="s">
        <v>44</v>
      </c>
      <c r="B110" s="14" t="s">
        <v>45</v>
      </c>
      <c r="C110" s="14">
        <f>C31*2</f>
        <v>50</v>
      </c>
      <c r="D110" s="14">
        <f>C110*D31</f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>C110*H31</f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>C110*M31</f>
        <v>0</v>
      </c>
      <c r="N110" s="14"/>
      <c r="O110" s="14"/>
      <c r="P110" s="14">
        <f t="shared" ref="P110:P115" si="12">SUM(D110:M110)</f>
        <v>100</v>
      </c>
      <c r="Q110" s="14">
        <f>SUM(P110:P115)</f>
        <v>1660</v>
      </c>
    </row>
    <row r="111" spans="1:30" s="18" customFormat="1" x14ac:dyDescent="0.3">
      <c r="A111" s="14" t="s">
        <v>44</v>
      </c>
      <c r="B111" s="14" t="s">
        <v>128</v>
      </c>
      <c r="C111" s="14">
        <f>C32*2</f>
        <v>38</v>
      </c>
      <c r="D111" s="14">
        <f>C111*D32</f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>C111*H32</f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>C111*M32</f>
        <v>38</v>
      </c>
      <c r="N111" s="14"/>
      <c r="O111" s="14"/>
      <c r="P111" s="14">
        <f t="shared" si="12"/>
        <v>38</v>
      </c>
      <c r="Q111" s="14"/>
    </row>
    <row r="112" spans="1:30" s="18" customFormat="1" x14ac:dyDescent="0.3">
      <c r="A112" s="14" t="s">
        <v>44</v>
      </c>
      <c r="B112" s="14" t="s">
        <v>46</v>
      </c>
      <c r="C112" s="14">
        <f>C33*2</f>
        <v>54</v>
      </c>
      <c r="D112" s="14">
        <f>C112*D33</f>
        <v>0</v>
      </c>
      <c r="E112" s="14">
        <f>C112*E33</f>
        <v>0</v>
      </c>
      <c r="F112" s="14">
        <f>C112*F33</f>
        <v>0</v>
      </c>
      <c r="G112" s="14">
        <f>C112*G33</f>
        <v>54</v>
      </c>
      <c r="H112" s="14">
        <f>C112*H33</f>
        <v>0</v>
      </c>
      <c r="I112" s="14">
        <f>C112*I33</f>
        <v>54</v>
      </c>
      <c r="J112" s="14">
        <f>C112*J33</f>
        <v>108</v>
      </c>
      <c r="K112" s="14">
        <f>C112*K33</f>
        <v>0</v>
      </c>
      <c r="L112" s="14">
        <f>C112*L33</f>
        <v>0</v>
      </c>
      <c r="M112" s="14">
        <f>C112*M33</f>
        <v>0</v>
      </c>
      <c r="N112" s="20"/>
      <c r="O112" s="14"/>
      <c r="P112" s="14">
        <f t="shared" si="12"/>
        <v>216</v>
      </c>
      <c r="Q112" s="14"/>
    </row>
    <row r="113" spans="1:30" s="18" customFormat="1" x14ac:dyDescent="0.3">
      <c r="A113" s="14" t="s">
        <v>44</v>
      </c>
      <c r="B113" s="14" t="s">
        <v>47</v>
      </c>
      <c r="C113" s="14">
        <f>C34*2</f>
        <v>54</v>
      </c>
      <c r="D113" s="14">
        <f>C113*D34</f>
        <v>0</v>
      </c>
      <c r="E113" s="14">
        <f>C113*E34</f>
        <v>0</v>
      </c>
      <c r="F113" s="14">
        <f>C113*F34</f>
        <v>0</v>
      </c>
      <c r="G113" s="14">
        <f>C113*G34</f>
        <v>0</v>
      </c>
      <c r="H113" s="14">
        <f>C113*H34</f>
        <v>0</v>
      </c>
      <c r="I113" s="14">
        <f>C113*I34</f>
        <v>0</v>
      </c>
      <c r="J113" s="14">
        <f>C113*J34</f>
        <v>0</v>
      </c>
      <c r="K113" s="14">
        <f>C113*K34</f>
        <v>54</v>
      </c>
      <c r="L113" s="14">
        <f>C113*L34</f>
        <v>0</v>
      </c>
      <c r="M113" s="14">
        <f>C113*M34</f>
        <v>378</v>
      </c>
      <c r="N113" s="14"/>
      <c r="O113" s="14"/>
      <c r="P113" s="14">
        <f t="shared" si="12"/>
        <v>432</v>
      </c>
      <c r="Q113" s="14"/>
    </row>
    <row r="114" spans="1:30" s="18" customFormat="1" x14ac:dyDescent="0.3">
      <c r="A114" s="14" t="s">
        <v>44</v>
      </c>
      <c r="B114" s="14" t="s">
        <v>48</v>
      </c>
      <c r="C114" s="14">
        <f>C35*2</f>
        <v>54</v>
      </c>
      <c r="D114" s="14">
        <f>C114*D35</f>
        <v>0</v>
      </c>
      <c r="E114" s="14">
        <f>C114*E35</f>
        <v>0</v>
      </c>
      <c r="F114" s="14">
        <f>C114*F35</f>
        <v>54</v>
      </c>
      <c r="G114" s="14">
        <f>C114*G35</f>
        <v>108</v>
      </c>
      <c r="H114" s="14">
        <f>C114*H35</f>
        <v>54</v>
      </c>
      <c r="I114" s="14">
        <f>C114*I35</f>
        <v>54</v>
      </c>
      <c r="J114" s="14">
        <f>C114*J35</f>
        <v>0</v>
      </c>
      <c r="K114" s="14">
        <f>C114*K35</f>
        <v>54</v>
      </c>
      <c r="L114" s="14">
        <f>C114*L35</f>
        <v>54</v>
      </c>
      <c r="M114" s="14">
        <f>C114*M35</f>
        <v>0</v>
      </c>
      <c r="N114" s="14"/>
      <c r="O114" s="14"/>
      <c r="P114" s="14">
        <f t="shared" si="12"/>
        <v>378</v>
      </c>
      <c r="Q114" s="14"/>
    </row>
    <row r="115" spans="1:30" s="18" customFormat="1" x14ac:dyDescent="0.3">
      <c r="A115" s="14" t="s">
        <v>44</v>
      </c>
      <c r="B115" s="14" t="s">
        <v>49</v>
      </c>
      <c r="C115" s="14">
        <f>C36*2</f>
        <v>62</v>
      </c>
      <c r="D115" s="14">
        <f>C115*D36</f>
        <v>0</v>
      </c>
      <c r="E115" s="14">
        <f>C115*E36</f>
        <v>0</v>
      </c>
      <c r="F115" s="14">
        <f>C115*F36</f>
        <v>0</v>
      </c>
      <c r="G115" s="14">
        <f>C115*G36</f>
        <v>0</v>
      </c>
      <c r="H115" s="14">
        <f>C115*H36</f>
        <v>0</v>
      </c>
      <c r="I115" s="14">
        <f>C115*I36</f>
        <v>62</v>
      </c>
      <c r="J115" s="14">
        <f>C115*J36</f>
        <v>0</v>
      </c>
      <c r="K115" s="14">
        <f>C115*K36</f>
        <v>186</v>
      </c>
      <c r="L115" s="14">
        <f>C115*L36</f>
        <v>124</v>
      </c>
      <c r="M115" s="14">
        <f>C115*M36</f>
        <v>124</v>
      </c>
      <c r="N115" s="14"/>
      <c r="O115" s="14"/>
      <c r="P115" s="14">
        <f t="shared" si="12"/>
        <v>496</v>
      </c>
      <c r="Q115" s="14"/>
    </row>
    <row r="116" spans="1:30" s="19" customFormat="1" x14ac:dyDescent="0.3">
      <c r="A116" s="8" t="s">
        <v>40</v>
      </c>
      <c r="B116" s="8" t="s">
        <v>41</v>
      </c>
      <c r="C116" s="8">
        <f>C37*2</f>
        <v>158</v>
      </c>
      <c r="D116" s="8">
        <f>C116*D37</f>
        <v>0</v>
      </c>
      <c r="E116" s="8">
        <f>C116*E37</f>
        <v>0</v>
      </c>
      <c r="F116" s="8">
        <f>C116*F37</f>
        <v>0</v>
      </c>
      <c r="G116" s="8">
        <f>C116*G37</f>
        <v>0</v>
      </c>
      <c r="H116" s="8">
        <f>C116*H37</f>
        <v>0</v>
      </c>
      <c r="I116" s="8">
        <f>C116*I37</f>
        <v>158</v>
      </c>
      <c r="J116" s="8">
        <f>C116*J37</f>
        <v>0</v>
      </c>
      <c r="K116" s="8">
        <f>C116*K37</f>
        <v>158</v>
      </c>
      <c r="L116" s="8">
        <f>C116*L37</f>
        <v>158</v>
      </c>
      <c r="M116" s="8">
        <f>C116*M37</f>
        <v>0</v>
      </c>
      <c r="N116" s="8"/>
      <c r="O116" s="8"/>
      <c r="P116" s="8">
        <f t="shared" si="7"/>
        <v>474</v>
      </c>
      <c r="Q116" s="8">
        <f>SUM(P116:P118)</f>
        <v>1150</v>
      </c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</row>
    <row r="117" spans="1:30" s="19" customFormat="1" x14ac:dyDescent="0.3">
      <c r="A117" s="8" t="s">
        <v>40</v>
      </c>
      <c r="B117" s="8" t="s">
        <v>42</v>
      </c>
      <c r="C117" s="8">
        <f>C38*2</f>
        <v>140</v>
      </c>
      <c r="D117" s="8">
        <f>C117*D38</f>
        <v>0</v>
      </c>
      <c r="E117" s="8">
        <f>C117*E38</f>
        <v>0</v>
      </c>
      <c r="F117" s="8">
        <f>C117*F38</f>
        <v>0</v>
      </c>
      <c r="G117" s="8">
        <f>C117*G38</f>
        <v>0</v>
      </c>
      <c r="H117" s="8">
        <f>C117*H38</f>
        <v>0</v>
      </c>
      <c r="I117" s="8">
        <f>C117*I38</f>
        <v>280</v>
      </c>
      <c r="J117" s="8">
        <f>C117*J38</f>
        <v>0</v>
      </c>
      <c r="K117" s="8">
        <f>C117*K38</f>
        <v>0</v>
      </c>
      <c r="L117" s="8">
        <f>C117*L38</f>
        <v>0</v>
      </c>
      <c r="M117" s="8">
        <f>C117*M38</f>
        <v>0</v>
      </c>
      <c r="N117" s="8"/>
      <c r="O117" s="8"/>
      <c r="P117" s="8">
        <f t="shared" si="7"/>
        <v>280</v>
      </c>
      <c r="Q117" s="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9" customFormat="1" x14ac:dyDescent="0.3">
      <c r="A118" s="8" t="s">
        <v>40</v>
      </c>
      <c r="B118" s="8" t="s">
        <v>43</v>
      </c>
      <c r="C118" s="8">
        <f>C39*2</f>
        <v>132</v>
      </c>
      <c r="D118" s="8">
        <f>C118*D39</f>
        <v>0</v>
      </c>
      <c r="E118" s="8">
        <f>C118*E39</f>
        <v>0</v>
      </c>
      <c r="F118" s="8">
        <f>C118*F39</f>
        <v>0</v>
      </c>
      <c r="G118" s="8">
        <f>C118*G39</f>
        <v>0</v>
      </c>
      <c r="H118" s="8">
        <f>C118*H39</f>
        <v>0</v>
      </c>
      <c r="I118" s="8">
        <f>C118*I39</f>
        <v>0</v>
      </c>
      <c r="J118" s="8">
        <f>C118*J39</f>
        <v>132</v>
      </c>
      <c r="K118" s="8">
        <f>C118*K39</f>
        <v>132</v>
      </c>
      <c r="L118" s="8">
        <f>C118*L39</f>
        <v>132</v>
      </c>
      <c r="M118" s="8">
        <f>C118*M39</f>
        <v>0</v>
      </c>
      <c r="N118" s="8"/>
      <c r="O118" s="8"/>
      <c r="P118" s="8">
        <f t="shared" si="7"/>
        <v>396</v>
      </c>
      <c r="Q118" s="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</row>
    <row r="119" spans="1:30" s="18" customFormat="1" x14ac:dyDescent="0.3">
      <c r="A119" s="14" t="s">
        <v>50</v>
      </c>
      <c r="B119" s="14" t="s">
        <v>51</v>
      </c>
      <c r="C119" s="14">
        <f>C40*2</f>
        <v>840</v>
      </c>
      <c r="D119" s="14">
        <f>C119*D40</f>
        <v>0</v>
      </c>
      <c r="E119" s="14">
        <f>C119*E40</f>
        <v>0</v>
      </c>
      <c r="F119" s="14">
        <f>C119*F40</f>
        <v>0</v>
      </c>
      <c r="G119" s="14">
        <f>C119*G40</f>
        <v>0</v>
      </c>
      <c r="H119" s="14">
        <f>C119*H40</f>
        <v>0</v>
      </c>
      <c r="I119" s="14">
        <f>C119*I40</f>
        <v>0</v>
      </c>
      <c r="J119" s="14">
        <f>C119*J40</f>
        <v>0</v>
      </c>
      <c r="K119" s="14">
        <f>C119*K40</f>
        <v>840</v>
      </c>
      <c r="L119" s="14">
        <f>C119*L40</f>
        <v>0</v>
      </c>
      <c r="M119" s="14">
        <f>C119*M40</f>
        <v>0</v>
      </c>
      <c r="N119" s="14"/>
      <c r="O119" s="14"/>
      <c r="P119" s="14">
        <f t="shared" si="7"/>
        <v>840</v>
      </c>
      <c r="Q119" s="14">
        <f>P119</f>
        <v>840</v>
      </c>
    </row>
    <row r="120" spans="1:30" s="19" customFormat="1" x14ac:dyDescent="0.3">
      <c r="A120" s="8" t="s">
        <v>52</v>
      </c>
      <c r="B120" s="8" t="s">
        <v>53</v>
      </c>
      <c r="C120" s="8">
        <f>C41*2</f>
        <v>282</v>
      </c>
      <c r="D120" s="8">
        <f>C120*D41</f>
        <v>0</v>
      </c>
      <c r="E120" s="8">
        <f>C120*E41</f>
        <v>0</v>
      </c>
      <c r="F120" s="8">
        <f>C120*F41</f>
        <v>0</v>
      </c>
      <c r="G120" s="8">
        <f>C120*G41</f>
        <v>0</v>
      </c>
      <c r="H120" s="8">
        <f>C120*H41</f>
        <v>0</v>
      </c>
      <c r="I120" s="8">
        <f>C120*I41</f>
        <v>0</v>
      </c>
      <c r="J120" s="8">
        <f>C120*J41</f>
        <v>0</v>
      </c>
      <c r="K120" s="8">
        <f>C120*K41</f>
        <v>282</v>
      </c>
      <c r="L120" s="8">
        <f>C120*L41</f>
        <v>0</v>
      </c>
      <c r="M120" s="8">
        <f>C120*M41</f>
        <v>0</v>
      </c>
      <c r="N120" s="8"/>
      <c r="O120" s="8"/>
      <c r="P120" s="8">
        <f t="shared" si="7"/>
        <v>282</v>
      </c>
      <c r="Q120" s="8">
        <f>P120</f>
        <v>282</v>
      </c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</row>
    <row r="121" spans="1:30" s="18" customFormat="1" x14ac:dyDescent="0.3">
      <c r="A121" s="14" t="s">
        <v>54</v>
      </c>
      <c r="B121" s="14" t="s">
        <v>55</v>
      </c>
      <c r="C121" s="14">
        <f>C42*2</f>
        <v>160</v>
      </c>
      <c r="D121" s="14">
        <f>C121*D42</f>
        <v>0</v>
      </c>
      <c r="E121" s="14">
        <f>C121*E42</f>
        <v>160</v>
      </c>
      <c r="F121" s="14">
        <f>C121*F42</f>
        <v>160</v>
      </c>
      <c r="G121" s="14">
        <f>C121*G42</f>
        <v>320</v>
      </c>
      <c r="H121" s="14">
        <f>C121*H42</f>
        <v>0</v>
      </c>
      <c r="I121" s="14">
        <f>C121*I42</f>
        <v>480</v>
      </c>
      <c r="J121" s="14">
        <f>C121*J42</f>
        <v>160</v>
      </c>
      <c r="K121" s="14">
        <f>C121*K42</f>
        <v>160</v>
      </c>
      <c r="L121" s="14">
        <f>C121*L42</f>
        <v>0</v>
      </c>
      <c r="M121" s="14">
        <f>C121*M42</f>
        <v>0</v>
      </c>
      <c r="N121" s="14"/>
      <c r="O121" s="14"/>
      <c r="P121" s="14">
        <f t="shared" si="7"/>
        <v>1440</v>
      </c>
      <c r="Q121" s="14">
        <f>P121</f>
        <v>1440</v>
      </c>
    </row>
    <row r="122" spans="1:30" s="19" customFormat="1" x14ac:dyDescent="0.3">
      <c r="A122" s="8" t="s">
        <v>120</v>
      </c>
      <c r="B122" s="8" t="s">
        <v>119</v>
      </c>
      <c r="C122" s="8">
        <f>C43*2</f>
        <v>1044</v>
      </c>
      <c r="D122" s="8">
        <f>C122*D43</f>
        <v>0</v>
      </c>
      <c r="E122" s="8">
        <f>C122*E43</f>
        <v>0</v>
      </c>
      <c r="F122" s="8">
        <f>C122*F43</f>
        <v>0</v>
      </c>
      <c r="G122" s="8">
        <f>C122*G43</f>
        <v>0</v>
      </c>
      <c r="H122" s="8">
        <f>C122*H43</f>
        <v>0</v>
      </c>
      <c r="I122" s="8">
        <f>C122*I43</f>
        <v>0</v>
      </c>
      <c r="J122" s="8">
        <f>C122*J43</f>
        <v>0</v>
      </c>
      <c r="K122" s="8">
        <f>C122*K43</f>
        <v>0</v>
      </c>
      <c r="L122" s="8">
        <f>C122*L43</f>
        <v>0</v>
      </c>
      <c r="M122" s="8">
        <f>C122*M43</f>
        <v>2088</v>
      </c>
      <c r="N122" s="8"/>
      <c r="O122" s="8"/>
      <c r="P122" s="8">
        <f t="shared" si="7"/>
        <v>2088</v>
      </c>
      <c r="Q122" s="8">
        <f>P122</f>
        <v>2088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8" customFormat="1" x14ac:dyDescent="0.3">
      <c r="A123" s="14" t="s">
        <v>56</v>
      </c>
      <c r="B123" s="14" t="s">
        <v>57</v>
      </c>
      <c r="C123" s="14">
        <f>C44*2</f>
        <v>68</v>
      </c>
      <c r="D123" s="14">
        <f>C123*D44</f>
        <v>0</v>
      </c>
      <c r="E123" s="14">
        <f>C123*E44</f>
        <v>0</v>
      </c>
      <c r="F123" s="14">
        <f>C123*F44</f>
        <v>0</v>
      </c>
      <c r="G123" s="14">
        <f>C123*G44</f>
        <v>68</v>
      </c>
      <c r="H123" s="14">
        <f>C123*H44</f>
        <v>0</v>
      </c>
      <c r="I123" s="14">
        <f>C123*I44</f>
        <v>136</v>
      </c>
      <c r="J123" s="14">
        <f>C123*J44</f>
        <v>0</v>
      </c>
      <c r="K123" s="14">
        <f>C123*K44</f>
        <v>136</v>
      </c>
      <c r="L123" s="14">
        <f>C123*L44</f>
        <v>68</v>
      </c>
      <c r="M123" s="14">
        <f>C123*M44</f>
        <v>0</v>
      </c>
      <c r="N123" s="14"/>
      <c r="O123" s="14"/>
      <c r="P123" s="14">
        <f t="shared" si="7"/>
        <v>408</v>
      </c>
      <c r="Q123" s="14">
        <f>SUM(P123:P124)</f>
        <v>498</v>
      </c>
    </row>
    <row r="124" spans="1:30" s="18" customFormat="1" x14ac:dyDescent="0.3">
      <c r="A124" s="14" t="s">
        <v>56</v>
      </c>
      <c r="B124" s="14" t="s">
        <v>58</v>
      </c>
      <c r="C124" s="14">
        <f>C45*2</f>
        <v>90</v>
      </c>
      <c r="D124" s="14">
        <f>C124*D45</f>
        <v>0</v>
      </c>
      <c r="E124" s="14">
        <f>C124*E45</f>
        <v>0</v>
      </c>
      <c r="F124" s="14">
        <f>C124*F45</f>
        <v>90</v>
      </c>
      <c r="G124" s="14">
        <f>C124*G45</f>
        <v>0</v>
      </c>
      <c r="H124" s="14">
        <f>C124*H45</f>
        <v>0</v>
      </c>
      <c r="I124" s="14">
        <f>C124*I45</f>
        <v>0</v>
      </c>
      <c r="J124" s="14">
        <f>C124*J45</f>
        <v>0</v>
      </c>
      <c r="K124" s="14">
        <f>C124*K45</f>
        <v>0</v>
      </c>
      <c r="L124" s="14">
        <f>C124*L45</f>
        <v>0</v>
      </c>
      <c r="M124" s="14">
        <f>C124*M45</f>
        <v>0</v>
      </c>
      <c r="N124" s="14"/>
      <c r="O124" s="14"/>
      <c r="P124" s="14">
        <f t="shared" si="7"/>
        <v>90</v>
      </c>
      <c r="Q124" s="14"/>
    </row>
    <row r="125" spans="1:30" s="19" customFormat="1" x14ac:dyDescent="0.3">
      <c r="A125" s="8" t="s">
        <v>59</v>
      </c>
      <c r="B125" s="8" t="s">
        <v>60</v>
      </c>
      <c r="C125" s="8">
        <f>C46*2</f>
        <v>264</v>
      </c>
      <c r="D125" s="8">
        <f>C125*D46</f>
        <v>0</v>
      </c>
      <c r="E125" s="8">
        <f>C125*E46</f>
        <v>0</v>
      </c>
      <c r="F125" s="8">
        <f>C125*F46</f>
        <v>0</v>
      </c>
      <c r="G125" s="8">
        <f>C125*G46</f>
        <v>0</v>
      </c>
      <c r="H125" s="8">
        <f>C125*H46</f>
        <v>264</v>
      </c>
      <c r="I125" s="8">
        <f>C125*I46</f>
        <v>0</v>
      </c>
      <c r="J125" s="8">
        <f>C125*J46</f>
        <v>0</v>
      </c>
      <c r="K125" s="8">
        <f>C125*K46</f>
        <v>0</v>
      </c>
      <c r="L125" s="8">
        <f>C125*L46</f>
        <v>0</v>
      </c>
      <c r="M125" s="8">
        <f>C125*M46</f>
        <v>0</v>
      </c>
      <c r="N125" s="8"/>
      <c r="O125" s="8"/>
      <c r="P125" s="8">
        <f t="shared" si="7"/>
        <v>264</v>
      </c>
      <c r="Q125" s="8">
        <f>SUM(P125:P127)</f>
        <v>1050</v>
      </c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</row>
    <row r="126" spans="1:30" s="19" customFormat="1" x14ac:dyDescent="0.3">
      <c r="A126" s="8" t="s">
        <v>59</v>
      </c>
      <c r="B126" s="8" t="s">
        <v>61</v>
      </c>
      <c r="C126" s="8">
        <f>C47*2</f>
        <v>262</v>
      </c>
      <c r="D126" s="8">
        <f>C126*D47</f>
        <v>0</v>
      </c>
      <c r="E126" s="8">
        <f>C126*E47</f>
        <v>0</v>
      </c>
      <c r="F126" s="8">
        <f>C126*F47</f>
        <v>262</v>
      </c>
      <c r="G126" s="8">
        <f>C126*G47</f>
        <v>0</v>
      </c>
      <c r="H126" s="8">
        <f>C126*H47</f>
        <v>0</v>
      </c>
      <c r="I126" s="8">
        <f>C126*I47</f>
        <v>0</v>
      </c>
      <c r="J126" s="8">
        <f>C126*J47</f>
        <v>0</v>
      </c>
      <c r="K126" s="8">
        <f>C126*K47</f>
        <v>0</v>
      </c>
      <c r="L126" s="8">
        <f>C126*L47</f>
        <v>0</v>
      </c>
      <c r="M126" s="8">
        <f>C126*M47</f>
        <v>0</v>
      </c>
      <c r="N126" s="8"/>
      <c r="O126" s="8"/>
      <c r="P126" s="8">
        <f t="shared" si="7"/>
        <v>262</v>
      </c>
      <c r="Q126" s="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59</v>
      </c>
      <c r="B127" s="8" t="s">
        <v>62</v>
      </c>
      <c r="C127" s="8">
        <f>C48*2</f>
        <v>262</v>
      </c>
      <c r="D127" s="8">
        <f>C127*D48</f>
        <v>262</v>
      </c>
      <c r="E127" s="8">
        <f>C127*E48</f>
        <v>0</v>
      </c>
      <c r="F127" s="8">
        <f>C127*F48</f>
        <v>0</v>
      </c>
      <c r="G127" s="8">
        <f>C127*G48</f>
        <v>0</v>
      </c>
      <c r="H127" s="8">
        <f>C127*H48</f>
        <v>0</v>
      </c>
      <c r="I127" s="8">
        <f>C127*I48</f>
        <v>0</v>
      </c>
      <c r="J127" s="8">
        <f>C127*J48</f>
        <v>0</v>
      </c>
      <c r="K127" s="8">
        <f>C127*K48</f>
        <v>262</v>
      </c>
      <c r="L127" s="8">
        <f>C127*L48</f>
        <v>0</v>
      </c>
      <c r="M127" s="8">
        <f>C127*M48</f>
        <v>0</v>
      </c>
      <c r="N127" s="8"/>
      <c r="O127" s="8"/>
      <c r="P127" s="8">
        <f t="shared" si="7"/>
        <v>524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8" customFormat="1" x14ac:dyDescent="0.3">
      <c r="A128" s="14" t="s">
        <v>63</v>
      </c>
      <c r="B128" s="14" t="s">
        <v>64</v>
      </c>
      <c r="C128" s="14">
        <f>C49*2</f>
        <v>272</v>
      </c>
      <c r="D128" s="14">
        <f>C128*D49</f>
        <v>0</v>
      </c>
      <c r="E128" s="14">
        <f>C128*E49</f>
        <v>0</v>
      </c>
      <c r="F128" s="14">
        <f>C128*F49</f>
        <v>0</v>
      </c>
      <c r="G128" s="14">
        <f>C128*G49</f>
        <v>0</v>
      </c>
      <c r="H128" s="14">
        <f>C128*H49</f>
        <v>0</v>
      </c>
      <c r="I128" s="14">
        <f>C128*I49</f>
        <v>0</v>
      </c>
      <c r="J128" s="14">
        <f>C128*J49</f>
        <v>544</v>
      </c>
      <c r="K128" s="14">
        <f>C128*K49</f>
        <v>272</v>
      </c>
      <c r="L128" s="14">
        <f>C128*L49</f>
        <v>0</v>
      </c>
      <c r="M128" s="14">
        <f>C128*M49</f>
        <v>0</v>
      </c>
      <c r="N128" s="14"/>
      <c r="O128" s="14"/>
      <c r="P128" s="14">
        <f t="shared" si="7"/>
        <v>816</v>
      </c>
      <c r="Q128" s="14">
        <f>P128</f>
        <v>816</v>
      </c>
    </row>
    <row r="129" spans="1:30" s="19" customFormat="1" x14ac:dyDescent="0.3">
      <c r="A129" s="8" t="s">
        <v>65</v>
      </c>
      <c r="B129" s="8" t="s">
        <v>66</v>
      </c>
      <c r="C129" s="8">
        <f>C50*2</f>
        <v>266</v>
      </c>
      <c r="D129" s="8">
        <f>C129*D50</f>
        <v>0</v>
      </c>
      <c r="E129" s="8">
        <f>C129*E50</f>
        <v>0</v>
      </c>
      <c r="F129" s="8">
        <f>C129*F50</f>
        <v>0</v>
      </c>
      <c r="G129" s="8">
        <f>C129*G50</f>
        <v>0</v>
      </c>
      <c r="H129" s="8">
        <f>C129*H50</f>
        <v>266</v>
      </c>
      <c r="I129" s="8">
        <f>C129*I50</f>
        <v>0</v>
      </c>
      <c r="J129" s="8">
        <f>C129*J50</f>
        <v>0</v>
      </c>
      <c r="K129" s="8">
        <f>C129*K50</f>
        <v>266</v>
      </c>
      <c r="L129" s="8">
        <f>C129*L50</f>
        <v>0</v>
      </c>
      <c r="M129" s="8">
        <f>C129*M50</f>
        <v>0</v>
      </c>
      <c r="N129" s="8"/>
      <c r="O129" s="8"/>
      <c r="P129" s="8">
        <f t="shared" si="7"/>
        <v>532</v>
      </c>
      <c r="Q129" s="8">
        <f>SUM(P129:P132)</f>
        <v>1396</v>
      </c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9" customFormat="1" x14ac:dyDescent="0.3">
      <c r="A130" s="8" t="s">
        <v>65</v>
      </c>
      <c r="B130" s="8" t="s">
        <v>67</v>
      </c>
      <c r="C130" s="8">
        <f>C51*2</f>
        <v>304</v>
      </c>
      <c r="D130" s="8">
        <f>C130*D51</f>
        <v>0</v>
      </c>
      <c r="E130" s="8">
        <f>C130*E51</f>
        <v>0</v>
      </c>
      <c r="F130" s="8">
        <f>C130*F51</f>
        <v>0</v>
      </c>
      <c r="G130" s="8">
        <f>C130*G51</f>
        <v>0</v>
      </c>
      <c r="H130" s="8">
        <f>C130*H51</f>
        <v>0</v>
      </c>
      <c r="I130" s="8">
        <f>C130*I51</f>
        <v>0</v>
      </c>
      <c r="J130" s="8">
        <f>C130*J51</f>
        <v>0</v>
      </c>
      <c r="K130" s="8">
        <f>C130*K51</f>
        <v>304</v>
      </c>
      <c r="L130" s="8">
        <f>C130*L51</f>
        <v>0</v>
      </c>
      <c r="M130" s="8">
        <f>C130*M51</f>
        <v>0</v>
      </c>
      <c r="N130" s="8"/>
      <c r="O130" s="8"/>
      <c r="P130" s="8">
        <f t="shared" si="7"/>
        <v>304</v>
      </c>
      <c r="Q130" s="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</row>
    <row r="131" spans="1:30" s="19" customFormat="1" x14ac:dyDescent="0.3">
      <c r="A131" s="8" t="s">
        <v>65</v>
      </c>
      <c r="B131" s="8" t="s">
        <v>68</v>
      </c>
      <c r="C131" s="8">
        <f>C52*2</f>
        <v>254</v>
      </c>
      <c r="D131" s="8">
        <f>C131*D52</f>
        <v>0</v>
      </c>
      <c r="E131" s="8">
        <f>C131*E52</f>
        <v>0</v>
      </c>
      <c r="F131" s="8">
        <f>C131*F52</f>
        <v>0</v>
      </c>
      <c r="G131" s="8">
        <f>C131*G52</f>
        <v>0</v>
      </c>
      <c r="H131" s="8">
        <f>C131*H52</f>
        <v>0</v>
      </c>
      <c r="I131" s="8">
        <f>C131*I52</f>
        <v>254</v>
      </c>
      <c r="J131" s="8">
        <f>C131*J52</f>
        <v>0</v>
      </c>
      <c r="K131" s="8">
        <f>C131*K52</f>
        <v>0</v>
      </c>
      <c r="L131" s="8">
        <f>C131*L52</f>
        <v>0</v>
      </c>
      <c r="M131" s="8">
        <f>C131*M52</f>
        <v>0</v>
      </c>
      <c r="N131" s="8"/>
      <c r="O131" s="8"/>
      <c r="P131" s="8">
        <f t="shared" si="7"/>
        <v>254</v>
      </c>
      <c r="Q131" s="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</row>
    <row r="132" spans="1:30" s="19" customFormat="1" ht="13.8" customHeight="1" x14ac:dyDescent="0.3">
      <c r="A132" s="8" t="s">
        <v>65</v>
      </c>
      <c r="B132" s="8" t="s">
        <v>69</v>
      </c>
      <c r="C132" s="8">
        <f>C53*2</f>
        <v>306</v>
      </c>
      <c r="D132" s="8">
        <f>C132*D53</f>
        <v>0</v>
      </c>
      <c r="E132" s="8">
        <f>C132*E53</f>
        <v>0</v>
      </c>
      <c r="F132" s="8">
        <f>C132*F53</f>
        <v>0</v>
      </c>
      <c r="G132" s="8">
        <f>C132*G53</f>
        <v>0</v>
      </c>
      <c r="H132" s="8">
        <f>C132*H53</f>
        <v>0</v>
      </c>
      <c r="I132" s="8">
        <f>C132*I53</f>
        <v>306</v>
      </c>
      <c r="J132" s="8">
        <f>C132*J53</f>
        <v>0</v>
      </c>
      <c r="K132" s="8">
        <f>C132*K53</f>
        <v>0</v>
      </c>
      <c r="L132" s="8">
        <f>C132*L53</f>
        <v>0</v>
      </c>
      <c r="M132" s="8">
        <f>C132*M53</f>
        <v>0</v>
      </c>
      <c r="N132" s="8"/>
      <c r="O132" s="8"/>
      <c r="P132" s="8">
        <f t="shared" si="7"/>
        <v>306</v>
      </c>
      <c r="Q132" s="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</row>
    <row r="133" spans="1:30" s="18" customFormat="1" x14ac:dyDescent="0.3">
      <c r="A133" s="14" t="s">
        <v>70</v>
      </c>
      <c r="B133" s="14" t="s">
        <v>71</v>
      </c>
      <c r="C133" s="14">
        <f>C54*2</f>
        <v>124</v>
      </c>
      <c r="D133" s="14">
        <f>C133*D54</f>
        <v>0</v>
      </c>
      <c r="E133" s="14">
        <f>C133*E54</f>
        <v>124</v>
      </c>
      <c r="F133" s="14">
        <f>C133*F54</f>
        <v>0</v>
      </c>
      <c r="G133" s="14">
        <f>C133*G54</f>
        <v>0</v>
      </c>
      <c r="H133" s="14">
        <f>C133*H54</f>
        <v>124</v>
      </c>
      <c r="I133" s="14">
        <f>C133*I54</f>
        <v>0</v>
      </c>
      <c r="J133" s="14">
        <f>C133*J54</f>
        <v>248</v>
      </c>
      <c r="K133" s="14">
        <f>C133*K54</f>
        <v>0</v>
      </c>
      <c r="L133" s="14">
        <f>C133*L54</f>
        <v>0</v>
      </c>
      <c r="M133" s="14">
        <f>C133*M54</f>
        <v>124</v>
      </c>
      <c r="N133" s="14"/>
      <c r="O133" s="14"/>
      <c r="P133" s="14">
        <f t="shared" si="7"/>
        <v>620</v>
      </c>
      <c r="Q133" s="14">
        <f>SUM(P133:P135)</f>
        <v>1004</v>
      </c>
    </row>
    <row r="134" spans="1:30" s="18" customFormat="1" x14ac:dyDescent="0.3">
      <c r="A134" s="14" t="s">
        <v>70</v>
      </c>
      <c r="B134" s="14" t="s">
        <v>72</v>
      </c>
      <c r="C134" s="14">
        <f>C55*2</f>
        <v>130</v>
      </c>
      <c r="D134" s="14">
        <f>C134*D55</f>
        <v>0</v>
      </c>
      <c r="E134" s="14">
        <f>C134*E55</f>
        <v>0</v>
      </c>
      <c r="F134" s="14">
        <f>C134*F55</f>
        <v>0</v>
      </c>
      <c r="G134" s="14">
        <f>C134*G55</f>
        <v>260</v>
      </c>
      <c r="H134" s="14">
        <f>C134*H55</f>
        <v>0</v>
      </c>
      <c r="I134" s="14">
        <f>C134*I55</f>
        <v>0</v>
      </c>
      <c r="J134" s="14">
        <f>C134*J55</f>
        <v>0</v>
      </c>
      <c r="K134" s="14">
        <f>C134*K55</f>
        <v>0</v>
      </c>
      <c r="L134" s="14">
        <f>C134*L55</f>
        <v>0</v>
      </c>
      <c r="M134" s="14">
        <f>C134*M55</f>
        <v>0</v>
      </c>
      <c r="N134" s="14"/>
      <c r="O134" s="14"/>
      <c r="P134" s="14">
        <f t="shared" si="7"/>
        <v>260</v>
      </c>
      <c r="Q134" s="14"/>
    </row>
    <row r="135" spans="1:30" s="18" customFormat="1" x14ac:dyDescent="0.3">
      <c r="A135" s="14" t="s">
        <v>70</v>
      </c>
      <c r="B135" s="14" t="s">
        <v>73</v>
      </c>
      <c r="C135" s="14">
        <f>C56*2</f>
        <v>124</v>
      </c>
      <c r="D135" s="14">
        <f>C135*D56</f>
        <v>0</v>
      </c>
      <c r="E135" s="14">
        <f>C135*E56</f>
        <v>0</v>
      </c>
      <c r="F135" s="14">
        <f>C135*F56</f>
        <v>0</v>
      </c>
      <c r="G135" s="14">
        <f>C135*G56</f>
        <v>0</v>
      </c>
      <c r="H135" s="14">
        <f>C135*H56</f>
        <v>0</v>
      </c>
      <c r="I135" s="14">
        <f>C135*I56</f>
        <v>0</v>
      </c>
      <c r="J135" s="14">
        <f>C135*J56</f>
        <v>0</v>
      </c>
      <c r="K135" s="14">
        <f>C135*K56</f>
        <v>124</v>
      </c>
      <c r="L135" s="14">
        <f>C135*L56</f>
        <v>0</v>
      </c>
      <c r="M135" s="14">
        <f>C135*M56</f>
        <v>0</v>
      </c>
      <c r="N135" s="14"/>
      <c r="O135" s="14"/>
      <c r="P135" s="14">
        <f t="shared" si="7"/>
        <v>124</v>
      </c>
      <c r="Q135" s="14"/>
    </row>
    <row r="136" spans="1:30" s="19" customFormat="1" x14ac:dyDescent="0.3">
      <c r="A136" s="8" t="s">
        <v>74</v>
      </c>
      <c r="B136" s="8" t="s">
        <v>124</v>
      </c>
      <c r="C136" s="8">
        <f>C57*2</f>
        <v>90</v>
      </c>
      <c r="D136" s="8">
        <f>C136*D57</f>
        <v>0</v>
      </c>
      <c r="E136" s="8">
        <f>C136*E57</f>
        <v>0</v>
      </c>
      <c r="F136" s="8">
        <f>C136*F57</f>
        <v>0</v>
      </c>
      <c r="G136" s="8">
        <f>C136*G57</f>
        <v>0</v>
      </c>
      <c r="H136" s="8">
        <f>C136*H57</f>
        <v>0</v>
      </c>
      <c r="I136" s="8">
        <f>C136*I57</f>
        <v>0</v>
      </c>
      <c r="J136" s="8">
        <f>C136*J57</f>
        <v>90</v>
      </c>
      <c r="K136" s="8">
        <f>C136*K57</f>
        <v>0</v>
      </c>
      <c r="L136" s="8">
        <f>C136*L57</f>
        <v>0</v>
      </c>
      <c r="M136" s="8">
        <f>C136*M57</f>
        <v>0</v>
      </c>
      <c r="N136" s="8"/>
      <c r="O136" s="8"/>
      <c r="P136" s="8">
        <f t="shared" si="7"/>
        <v>90</v>
      </c>
      <c r="Q136" s="8">
        <f>SUM(P136:P138)</f>
        <v>286</v>
      </c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</row>
    <row r="137" spans="1:30" s="19" customFormat="1" x14ac:dyDescent="0.3">
      <c r="A137" s="8" t="s">
        <v>74</v>
      </c>
      <c r="B137" s="8" t="s">
        <v>76</v>
      </c>
      <c r="C137" s="8">
        <f>C58*2</f>
        <v>106</v>
      </c>
      <c r="D137" s="8">
        <f>C137*D58</f>
        <v>106</v>
      </c>
      <c r="E137" s="8">
        <f>C137*E58</f>
        <v>0</v>
      </c>
      <c r="F137" s="8">
        <f>C137*F58</f>
        <v>0</v>
      </c>
      <c r="G137" s="8">
        <f>C137*G58</f>
        <v>0</v>
      </c>
      <c r="H137" s="8">
        <f>C137*H58</f>
        <v>0</v>
      </c>
      <c r="I137" s="8">
        <f>C137*I58</f>
        <v>0</v>
      </c>
      <c r="J137" s="8">
        <f>C137*J58</f>
        <v>0</v>
      </c>
      <c r="K137" s="8">
        <f>C137*K58</f>
        <v>0</v>
      </c>
      <c r="L137" s="8">
        <f>C137*L58</f>
        <v>0</v>
      </c>
      <c r="M137" s="8">
        <f>C137*M58</f>
        <v>0</v>
      </c>
      <c r="N137" s="8"/>
      <c r="O137" s="8"/>
      <c r="P137" s="8">
        <f t="shared" si="7"/>
        <v>106</v>
      </c>
      <c r="Q137" s="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</row>
    <row r="138" spans="1:30" s="19" customFormat="1" x14ac:dyDescent="0.3">
      <c r="A138" s="8" t="s">
        <v>74</v>
      </c>
      <c r="B138" s="8" t="s">
        <v>77</v>
      </c>
      <c r="C138" s="8">
        <f>C59*2</f>
        <v>90</v>
      </c>
      <c r="D138" s="8">
        <f>C138*D59</f>
        <v>0</v>
      </c>
      <c r="E138" s="8">
        <f>C138*E59</f>
        <v>90</v>
      </c>
      <c r="F138" s="8">
        <f>C138*F59</f>
        <v>0</v>
      </c>
      <c r="G138" s="8">
        <f>C138*G59</f>
        <v>0</v>
      </c>
      <c r="H138" s="8">
        <f>C138*H59</f>
        <v>0</v>
      </c>
      <c r="I138" s="8">
        <f>C138*I59</f>
        <v>0</v>
      </c>
      <c r="J138" s="8">
        <f>C138*J59</f>
        <v>0</v>
      </c>
      <c r="K138" s="8">
        <f>C138*K59</f>
        <v>0</v>
      </c>
      <c r="L138" s="8">
        <f>C138*L59</f>
        <v>0</v>
      </c>
      <c r="M138" s="8">
        <f>C138*M59</f>
        <v>0</v>
      </c>
      <c r="N138" s="8"/>
      <c r="O138" s="8"/>
      <c r="P138" s="8">
        <f t="shared" si="7"/>
        <v>90</v>
      </c>
      <c r="Q138" s="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</row>
    <row r="139" spans="1:30" s="18" customFormat="1" x14ac:dyDescent="0.3">
      <c r="A139" s="14" t="s">
        <v>78</v>
      </c>
      <c r="B139" s="14" t="s">
        <v>79</v>
      </c>
      <c r="C139" s="14">
        <f>C60*2</f>
        <v>40</v>
      </c>
      <c r="D139" s="14">
        <f>C139*D60</f>
        <v>0</v>
      </c>
      <c r="E139" s="14">
        <f>C139*E60</f>
        <v>0</v>
      </c>
      <c r="F139" s="14">
        <f>C139*F60</f>
        <v>0</v>
      </c>
      <c r="G139" s="14">
        <f>C139*G60</f>
        <v>80</v>
      </c>
      <c r="H139" s="14">
        <f>C139*H60</f>
        <v>0</v>
      </c>
      <c r="I139" s="14">
        <f>C139*I60</f>
        <v>160</v>
      </c>
      <c r="J139" s="14">
        <f>C139*J60</f>
        <v>160</v>
      </c>
      <c r="K139" s="14">
        <f>C139*K60</f>
        <v>0</v>
      </c>
      <c r="L139" s="14">
        <f>C139*L60</f>
        <v>40</v>
      </c>
      <c r="M139" s="14">
        <f>C139*M60</f>
        <v>0</v>
      </c>
      <c r="N139" s="14"/>
      <c r="O139" s="14"/>
      <c r="P139" s="14">
        <f t="shared" si="7"/>
        <v>440</v>
      </c>
      <c r="Q139" s="14">
        <f>SUM(P139:P141)</f>
        <v>712</v>
      </c>
    </row>
    <row r="140" spans="1:30" s="18" customFormat="1" x14ac:dyDescent="0.3">
      <c r="A140" s="14" t="s">
        <v>78</v>
      </c>
      <c r="B140" s="14" t="s">
        <v>80</v>
      </c>
      <c r="C140" s="14">
        <f>C61*2</f>
        <v>34</v>
      </c>
      <c r="D140" s="14">
        <f>C140*D61</f>
        <v>0</v>
      </c>
      <c r="E140" s="14">
        <f>C140*E61</f>
        <v>0</v>
      </c>
      <c r="F140" s="14">
        <f>C140*F61</f>
        <v>0</v>
      </c>
      <c r="G140" s="14">
        <f>C140*G61</f>
        <v>0</v>
      </c>
      <c r="H140" s="14">
        <f>C140*H61</f>
        <v>0</v>
      </c>
      <c r="I140" s="14">
        <f>C140*I61</f>
        <v>0</v>
      </c>
      <c r="J140" s="14">
        <f>C140*J61</f>
        <v>0</v>
      </c>
      <c r="K140" s="14">
        <f>C140*K61</f>
        <v>136</v>
      </c>
      <c r="L140" s="14">
        <f>C140*L61</f>
        <v>68</v>
      </c>
      <c r="M140" s="14">
        <f>C140*M61</f>
        <v>0</v>
      </c>
      <c r="N140" s="14"/>
      <c r="O140" s="14"/>
      <c r="P140" s="14">
        <f t="shared" si="7"/>
        <v>204</v>
      </c>
      <c r="Q140" s="14"/>
    </row>
    <row r="141" spans="1:30" s="18" customFormat="1" x14ac:dyDescent="0.3">
      <c r="A141" s="14" t="s">
        <v>78</v>
      </c>
      <c r="B141" s="14" t="s">
        <v>102</v>
      </c>
      <c r="C141" s="14">
        <f>C62*2</f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>C141*L62</f>
        <v>68</v>
      </c>
      <c r="M141" s="14">
        <f>C141*M62</f>
        <v>0</v>
      </c>
      <c r="N141" s="14"/>
      <c r="O141" s="14"/>
      <c r="P141" s="14">
        <f t="shared" si="7"/>
        <v>68</v>
      </c>
      <c r="Q141" s="14"/>
    </row>
    <row r="142" spans="1:30" s="19" customFormat="1" x14ac:dyDescent="0.3">
      <c r="A142" s="8" t="s">
        <v>81</v>
      </c>
      <c r="B142" s="8" t="s">
        <v>82</v>
      </c>
      <c r="C142" s="8">
        <f>C63*2</f>
        <v>248</v>
      </c>
      <c r="D142" s="8">
        <f>C142*D63</f>
        <v>248</v>
      </c>
      <c r="E142" s="8">
        <f>C142*E63</f>
        <v>248</v>
      </c>
      <c r="F142" s="8">
        <f>C142*F63</f>
        <v>248</v>
      </c>
      <c r="G142" s="8">
        <f>C142*G63</f>
        <v>496</v>
      </c>
      <c r="H142" s="8">
        <f>C142*H63</f>
        <v>0</v>
      </c>
      <c r="I142" s="8">
        <f>C142*I63</f>
        <v>0</v>
      </c>
      <c r="J142" s="8">
        <f>C142*J63</f>
        <v>0</v>
      </c>
      <c r="K142" s="8">
        <f>C142*K63</f>
        <v>0</v>
      </c>
      <c r="L142" s="8">
        <f>C142*L63</f>
        <v>0</v>
      </c>
      <c r="M142" s="8">
        <f>C142*M63</f>
        <v>0</v>
      </c>
      <c r="N142" s="8"/>
      <c r="O142" s="8"/>
      <c r="P142" s="8">
        <f t="shared" si="7"/>
        <v>1240</v>
      </c>
      <c r="Q142" s="8">
        <f>SUM(P142)</f>
        <v>1240</v>
      </c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</row>
    <row r="143" spans="1:30" s="18" customFormat="1" x14ac:dyDescent="0.3">
      <c r="A143" s="14" t="s">
        <v>83</v>
      </c>
      <c r="B143" s="14" t="s">
        <v>84</v>
      </c>
      <c r="C143" s="14">
        <f>C64*2</f>
        <v>124</v>
      </c>
      <c r="D143" s="14">
        <f>C143*D64</f>
        <v>0</v>
      </c>
      <c r="E143" s="14">
        <f>C143*E64</f>
        <v>0</v>
      </c>
      <c r="F143" s="14">
        <f>C143*F64</f>
        <v>0</v>
      </c>
      <c r="G143" s="14">
        <f>C143*G64</f>
        <v>124</v>
      </c>
      <c r="H143" s="14">
        <f>C143*H64</f>
        <v>0</v>
      </c>
      <c r="I143" s="14">
        <f>C143*I64</f>
        <v>0</v>
      </c>
      <c r="J143" s="14">
        <f>C143*J64</f>
        <v>124</v>
      </c>
      <c r="K143" s="14">
        <f>C143*K64</f>
        <v>0</v>
      </c>
      <c r="L143" s="14">
        <f>C143*L64</f>
        <v>0</v>
      </c>
      <c r="M143" s="14">
        <f>C143*M64</f>
        <v>0</v>
      </c>
      <c r="N143" s="14"/>
      <c r="O143" s="14"/>
      <c r="P143" s="14">
        <f t="shared" si="7"/>
        <v>248</v>
      </c>
      <c r="Q143" s="14">
        <f>SUM(P143:P145)</f>
        <v>482</v>
      </c>
    </row>
    <row r="144" spans="1:30" s="18" customFormat="1" x14ac:dyDescent="0.3">
      <c r="A144" s="14" t="s">
        <v>83</v>
      </c>
      <c r="B144" s="14" t="s">
        <v>85</v>
      </c>
      <c r="C144" s="14">
        <f>C65*2</f>
        <v>118</v>
      </c>
      <c r="D144" s="14">
        <f>C144*D65</f>
        <v>118</v>
      </c>
      <c r="E144" s="14">
        <f>C144*E65</f>
        <v>0</v>
      </c>
      <c r="F144" s="14">
        <f>C144*F65</f>
        <v>0</v>
      </c>
      <c r="G144" s="14">
        <f>C144*G65</f>
        <v>0</v>
      </c>
      <c r="H144" s="14">
        <f>C144*H65</f>
        <v>0</v>
      </c>
      <c r="I144" s="14">
        <f>C144*I65</f>
        <v>0</v>
      </c>
      <c r="J144" s="14">
        <f>C144*J65</f>
        <v>0</v>
      </c>
      <c r="K144" s="14">
        <f>C144*K65</f>
        <v>0</v>
      </c>
      <c r="L144" s="14">
        <f>C144*L65</f>
        <v>0</v>
      </c>
      <c r="M144" s="14">
        <f>C144*M65</f>
        <v>0</v>
      </c>
      <c r="N144" s="14"/>
      <c r="O144" s="14"/>
      <c r="P144" s="14">
        <f t="shared" si="7"/>
        <v>118</v>
      </c>
      <c r="Q144" s="14"/>
    </row>
    <row r="145" spans="1:30" s="18" customFormat="1" x14ac:dyDescent="0.3">
      <c r="A145" s="14" t="s">
        <v>83</v>
      </c>
      <c r="B145" s="14" t="s">
        <v>86</v>
      </c>
      <c r="C145" s="14">
        <f>C66*2</f>
        <v>116</v>
      </c>
      <c r="D145" s="14">
        <f>C145*D66</f>
        <v>0</v>
      </c>
      <c r="E145" s="14">
        <f>C145*E66</f>
        <v>0</v>
      </c>
      <c r="F145" s="14">
        <f>C145*F66</f>
        <v>0</v>
      </c>
      <c r="G145" s="14">
        <f>C145*G66</f>
        <v>0</v>
      </c>
      <c r="H145" s="14">
        <f>C145*H66</f>
        <v>0</v>
      </c>
      <c r="I145" s="14">
        <f>C145*I66</f>
        <v>116</v>
      </c>
      <c r="J145" s="14">
        <f>C145*J66</f>
        <v>0</v>
      </c>
      <c r="K145" s="14">
        <f>C145*K66</f>
        <v>0</v>
      </c>
      <c r="L145" s="14">
        <f>C145*L66</f>
        <v>0</v>
      </c>
      <c r="M145" s="14">
        <f>C145*M66</f>
        <v>0</v>
      </c>
      <c r="N145" s="14"/>
      <c r="O145" s="14"/>
      <c r="P145" s="14">
        <f t="shared" si="7"/>
        <v>116</v>
      </c>
      <c r="Q145" s="14"/>
    </row>
    <row r="146" spans="1:30" s="19" customFormat="1" x14ac:dyDescent="0.3">
      <c r="A146" s="8" t="s">
        <v>87</v>
      </c>
      <c r="B146" s="8" t="s">
        <v>88</v>
      </c>
      <c r="C146" s="8">
        <f>C67*2</f>
        <v>138</v>
      </c>
      <c r="D146" s="8">
        <f>C146*D67</f>
        <v>0</v>
      </c>
      <c r="E146" s="8">
        <f>C146*E67</f>
        <v>0</v>
      </c>
      <c r="F146" s="8">
        <f>C146*F67</f>
        <v>138</v>
      </c>
      <c r="G146" s="8">
        <f>C146*G67</f>
        <v>0</v>
      </c>
      <c r="H146" s="8">
        <f>C146*H67</f>
        <v>0</v>
      </c>
      <c r="I146" s="8">
        <f>C146*I67</f>
        <v>0</v>
      </c>
      <c r="J146" s="8">
        <f>C146*J67</f>
        <v>0</v>
      </c>
      <c r="K146" s="8">
        <f>C146*K67</f>
        <v>0</v>
      </c>
      <c r="L146" s="8">
        <f>C146*L67</f>
        <v>0</v>
      </c>
      <c r="M146" s="8">
        <f>C146*M67</f>
        <v>0</v>
      </c>
      <c r="N146" s="8"/>
      <c r="O146" s="8"/>
      <c r="P146" s="8">
        <f t="shared" si="7"/>
        <v>138</v>
      </c>
      <c r="Q146" s="8">
        <f>P146</f>
        <v>138</v>
      </c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</row>
    <row r="147" spans="1:30" x14ac:dyDescent="0.3">
      <c r="A147" s="14" t="s">
        <v>136</v>
      </c>
      <c r="B147" s="6" t="s">
        <v>137</v>
      </c>
      <c r="C147" s="14">
        <f>C68*2</f>
        <v>376</v>
      </c>
      <c r="D147" s="14">
        <f>C147*D68</f>
        <v>0</v>
      </c>
      <c r="E147" s="14">
        <f>C147*E68</f>
        <v>0</v>
      </c>
      <c r="F147" s="14">
        <f>C147*F68</f>
        <v>0</v>
      </c>
      <c r="G147" s="14">
        <f>C147*G68</f>
        <v>0</v>
      </c>
      <c r="H147" s="14">
        <f>C147*H68</f>
        <v>0</v>
      </c>
      <c r="I147" s="14">
        <f>C147*I68</f>
        <v>0</v>
      </c>
      <c r="J147" s="14">
        <f>C147*J68</f>
        <v>0</v>
      </c>
      <c r="K147" s="14">
        <f>C147*K68</f>
        <v>0</v>
      </c>
      <c r="L147" s="14">
        <f>C147*L68</f>
        <v>0</v>
      </c>
      <c r="M147" s="14">
        <f>C147*M68</f>
        <v>0</v>
      </c>
      <c r="N147" s="6"/>
      <c r="O147" s="6"/>
      <c r="P147" s="14">
        <f t="shared" si="7"/>
        <v>0</v>
      </c>
      <c r="Q147" s="14">
        <f>P147</f>
        <v>0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13">SUM(E81:E147)</f>
        <v>892</v>
      </c>
      <c r="F151" s="8">
        <f t="shared" si="13"/>
        <v>1166</v>
      </c>
      <c r="G151" s="8">
        <f t="shared" si="13"/>
        <v>1830</v>
      </c>
      <c r="H151" s="8">
        <f t="shared" si="13"/>
        <v>802</v>
      </c>
      <c r="I151" s="8">
        <f t="shared" si="13"/>
        <v>3046</v>
      </c>
      <c r="J151" s="8">
        <f t="shared" si="13"/>
        <v>2704</v>
      </c>
      <c r="K151" s="8">
        <f t="shared" si="13"/>
        <v>4664</v>
      </c>
      <c r="L151" s="8">
        <f t="shared" si="13"/>
        <v>2654</v>
      </c>
      <c r="M151" s="8">
        <f t="shared" si="13"/>
        <v>6950</v>
      </c>
      <c r="N151" s="8">
        <f>SUM(D151:M151)</f>
        <v>25458</v>
      </c>
      <c r="O151" s="15">
        <f>N151/N70</f>
        <v>153.36144578313252</v>
      </c>
      <c r="P151" s="8">
        <f>SUM(P81:P147)</f>
        <v>25458</v>
      </c>
      <c r="Q151" s="8">
        <f>SUM(Q81:Q147)</f>
        <v>25458</v>
      </c>
    </row>
    <row r="152" spans="1:30" x14ac:dyDescent="0.3">
      <c r="A152" s="6"/>
      <c r="B152" s="6"/>
      <c r="C152" s="6"/>
      <c r="D152" s="16">
        <f t="shared" ref="D152:N152" si="14">D151/D70</f>
        <v>150</v>
      </c>
      <c r="E152" s="16">
        <f t="shared" si="14"/>
        <v>89.2</v>
      </c>
      <c r="F152" s="16">
        <f t="shared" si="14"/>
        <v>116.6</v>
      </c>
      <c r="G152" s="16">
        <f t="shared" si="14"/>
        <v>114.375</v>
      </c>
      <c r="H152" s="16">
        <f t="shared" si="14"/>
        <v>160.4</v>
      </c>
      <c r="I152" s="16">
        <f t="shared" si="14"/>
        <v>138.45454545454547</v>
      </c>
      <c r="J152" s="16">
        <f t="shared" si="14"/>
        <v>142.31578947368422</v>
      </c>
      <c r="K152" s="16">
        <f t="shared" si="14"/>
        <v>172.74074074074073</v>
      </c>
      <c r="L152" s="16">
        <f t="shared" si="14"/>
        <v>165.875</v>
      </c>
      <c r="M152" s="16">
        <f t="shared" si="14"/>
        <v>193.05555555555554</v>
      </c>
      <c r="N152" s="16">
        <f t="shared" si="14"/>
        <v>153.36144578313252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15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15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15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15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15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15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15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23" t="s">
        <v>136</v>
      </c>
      <c r="B187" s="23">
        <f>Q68</f>
        <v>0</v>
      </c>
      <c r="C187" s="23">
        <f>N68</f>
        <v>0</v>
      </c>
      <c r="D187" s="14">
        <f>Q145</f>
        <v>0</v>
      </c>
    </row>
    <row r="188" spans="1:4" x14ac:dyDescent="0.3">
      <c r="A188" s="22"/>
      <c r="B188" s="22">
        <f>SUM(B156:B187)</f>
        <v>66</v>
      </c>
      <c r="C188" s="22">
        <f>SUM(C156:C187)</f>
        <v>166</v>
      </c>
      <c r="D188" s="22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2026-05-04T05:33:03Z</dcterms:modified>
</cp:coreProperties>
</file>
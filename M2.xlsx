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C0217886-31BE-4CF7-B49D-B77C1141811A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<sst xmlns="http://schemas.openxmlformats.org/spreadsheetml/2006/main" count="113" uniqueCount="56">
  <si>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</si>
  <si>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</si>
  <si>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</si>
  <si>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</si>
  <si>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</si>
  <si>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</si>
  <si>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</si>
  <si>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</si>
  <si>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</si>
  <si>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</si>
  <si>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</si>
  <si>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</si>
  <si>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</si>
  <si>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</si>
  <si>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</si>
  <si>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</si>
  <si>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</si>
  <si>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</si>
  <si>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</si>
  <si>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</si>
  <si>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</si>
  <si>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</si>
  <si>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</si>
  <si>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</si>
  <si>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</si>
  <si>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</si>
  <si>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</si>
  <si>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</si>
  <si>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</si>
  <si>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</si>
  <si>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</si>
  <si>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</si>
  <si>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</si>
  <si>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</si>
  <si>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</si>
  <si>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</si>
  <si>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</si>
  <si>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</si>
  <si>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</si>
  <si>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</si>
  <si>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</si>
  <si>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</si>
  <si>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</si>
  <si>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</si>
  <si>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</si>
  <si>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</si>
  <si>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</si>
  <si>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</si>
  <si>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</si>
  <si>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</si>
  <si>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</si>
  <si>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</si>
  <si>
    <t>25-17,21-25,15-25,24-26</t>
  </si>
  <si>
    <t>17-25,17-25,16-25</t>
  </si>
  <si>
    <t>17-25,19-25,11-25</t>
  </si>
  <si>
    <t>25-13,21-25,25-21,24-26,15-11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</si>
</sst>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16</v>
      </c>
      <c r="D2" s="10">
        <f>'M2 2025-2026'!O2</f>
        <v>5</v>
      </c>
      <c r="E2" s="10"/>
      <c r="F2" s="10">
        <f>'M2 2025-2026'!Q2</f>
        <v>11</v>
      </c>
      <c r="G2" s="10">
        <f>'M2 2025-2026'!O3</f>
        <v>16</v>
      </c>
      <c r="H2" s="10">
        <f>'M2 2025-2026'!Q3</f>
        <v>32</v>
      </c>
      <c r="I2" s="10">
        <f>'M2 2025-2026'!O4</f>
        <v>1311</v>
      </c>
      <c r="J2" s="10">
        <f>'M2 2025-2026'!Q4</f>
        <v>1445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16</v>
      </c>
      <c r="D4" s="11">
        <f t="shared" si="0"/>
        <v>5</v>
      </c>
      <c r="E4" s="11">
        <f t="shared" si="0"/>
        <v>0</v>
      </c>
      <c r="F4" s="11">
        <f t="shared" si="0"/>
        <v>11</v>
      </c>
      <c r="G4" s="12">
        <f t="shared" si="0"/>
        <v>16</v>
      </c>
      <c r="H4" s="12">
        <f t="shared" si="0"/>
        <v>32</v>
      </c>
      <c r="I4" s="12">
        <f t="shared" si="0"/>
        <v>1311</v>
      </c>
      <c r="J4" s="12">
        <f t="shared" si="0"/>
        <v>1445</v>
      </c>
      <c r="K4" s="10"/>
      <c r="M4">
        <f>'M2 2025-2026'!Q2</f>
        <v>11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A10" workbookViewId="0">
      <selection activeCell="D22" sqref="D22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5</v>
      </c>
      <c r="P2" s="10"/>
      <c r="Q2" s="10">
        <f>SUM(J2:J25)+SUM(I2:I25)</f>
        <v>11</v>
      </c>
      <c r="R2" s="10">
        <f>SUM(O2:Q2)</f>
        <v>16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16</v>
      </c>
      <c r="P3" s="8"/>
      <c r="Q3" s="8">
        <f>SUM(J2:J25)*3+SUM(I2:I25)*2+SUM(H2:H25)</f>
        <v>32</v>
      </c>
      <c r="R3" s="8">
        <f>SUM(O3:Q3)</f>
        <v>48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1311</v>
      </c>
      <c r="P4" s="10"/>
      <c r="Q4" s="10">
        <f>SUM(L2:L30)</f>
        <v>1445</v>
      </c>
      <c r="R4" s="10">
        <f>SUM(O4:Q4)</f>
        <v>2756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>
        <v>46032</v>
      </c>
      <c r="B10" s="20" t="s">
        <v>7</v>
      </c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>
        <v>46040</v>
      </c>
      <c r="B11" s="14" t="s">
        <v>24</v>
      </c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>
        <v>46047</v>
      </c>
      <c r="B12" s="20" t="s">
        <v>24</v>
      </c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>
        <v>46054</v>
      </c>
      <c r="B13" s="14" t="s">
        <v>24</v>
      </c>
      <c r="C13" s="14" t="s">
        <v>21</v>
      </c>
      <c r="D13" s="14" t="s">
        <v>46</v>
      </c>
      <c r="E13" s="17" t="s">
        <v>27</v>
      </c>
      <c r="F13" s="16" t="s">
        <v>51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ht="43.2" x14ac:dyDescent="0.3">
      <c r="A14" s="19">
        <v>46061</v>
      </c>
      <c r="B14" s="20" t="s">
        <v>24</v>
      </c>
      <c r="C14" s="20" t="s">
        <v>21</v>
      </c>
      <c r="D14" s="20" t="s">
        <v>47</v>
      </c>
      <c r="E14" s="21" t="s">
        <v>27</v>
      </c>
      <c r="F14" s="22" t="s">
        <v>52</v>
      </c>
      <c r="G14" s="22"/>
      <c r="H14" s="10"/>
      <c r="I14" s="10"/>
      <c r="J14" s="10">
        <v>1</v>
      </c>
      <c r="K14" s="10">
        <v>85</v>
      </c>
      <c r="L14" s="10">
        <v>92</v>
      </c>
      <c r="M14" s="10"/>
      <c r="N14" s="10"/>
      <c r="O14" s="10"/>
      <c r="P14" s="10"/>
      <c r="Q14" s="10"/>
      <c r="R14" s="10"/>
    </row>
    <row r="15" spans="1:19" ht="28.8" x14ac:dyDescent="0.3">
      <c r="A15" s="18">
        <v>46068</v>
      </c>
      <c r="B15" s="14" t="s">
        <v>24</v>
      </c>
      <c r="C15" s="14" t="s">
        <v>21</v>
      </c>
      <c r="D15" s="14" t="s">
        <v>43</v>
      </c>
      <c r="E15" s="14" t="s">
        <v>36</v>
      </c>
      <c r="F15" s="16" t="s">
        <v>53</v>
      </c>
      <c r="G15" s="8"/>
      <c r="H15" s="8"/>
      <c r="I15" s="8"/>
      <c r="J15" s="8">
        <v>1</v>
      </c>
      <c r="K15" s="8">
        <v>50</v>
      </c>
      <c r="L15" s="8">
        <v>75</v>
      </c>
      <c r="M15" s="8"/>
      <c r="N15" s="8"/>
      <c r="O15" s="8"/>
      <c r="P15" s="8"/>
      <c r="Q15" s="8"/>
      <c r="R15" s="8"/>
    </row>
    <row r="16" spans="1:19" ht="28.8" x14ac:dyDescent="0.3">
      <c r="A16" s="19">
        <v>46075</v>
      </c>
      <c r="B16" s="20" t="s">
        <v>24</v>
      </c>
      <c r="C16" s="20" t="s">
        <v>21</v>
      </c>
      <c r="D16" s="20" t="s">
        <v>44</v>
      </c>
      <c r="E16" s="21" t="s">
        <v>36</v>
      </c>
      <c r="F16" s="22" t="s">
        <v>54</v>
      </c>
      <c r="G16" s="22"/>
      <c r="H16" s="10"/>
      <c r="I16" s="10"/>
      <c r="J16" s="10">
        <v>1</v>
      </c>
      <c r="K16" s="10">
        <v>47</v>
      </c>
      <c r="L16" s="10">
        <v>75</v>
      </c>
      <c r="M16" s="10"/>
      <c r="N16" s="10"/>
      <c r="O16" s="10"/>
      <c r="P16" s="10"/>
      <c r="Q16" s="10"/>
      <c r="R16" s="10"/>
    </row>
    <row r="17" spans="1:18" ht="43.2" x14ac:dyDescent="0.3">
      <c r="A17" s="18">
        <v>46081</v>
      </c>
      <c r="B17" s="14" t="s">
        <v>7</v>
      </c>
      <c r="C17" s="14" t="s">
        <v>21</v>
      </c>
      <c r="D17" s="14" t="s">
        <v>45</v>
      </c>
      <c r="E17" s="15" t="s">
        <v>34</v>
      </c>
      <c r="F17" s="16" t="s">
        <v>55</v>
      </c>
      <c r="G17" s="8"/>
      <c r="H17" s="8">
        <v>1</v>
      </c>
      <c r="I17" s="8"/>
      <c r="J17" s="8"/>
      <c r="K17" s="8">
        <v>110</v>
      </c>
      <c r="L17" s="8">
        <v>96</v>
      </c>
      <c r="M17" s="8"/>
      <c r="N17" s="8"/>
      <c r="O17" s="8"/>
      <c r="P17" s="8"/>
      <c r="Q17" s="8"/>
      <c r="R17" s="8"/>
    </row>
    <row r="18" spans="1:18" x14ac:dyDescent="0.3">
      <c r="A18" s="19">
        <v>46089</v>
      </c>
      <c r="B18" s="20" t="s">
        <v>24</v>
      </c>
      <c r="C18" s="20" t="s">
        <v>21</v>
      </c>
      <c r="D18" s="20" t="s">
        <v>46</v>
      </c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>
        <v>45731</v>
      </c>
      <c r="B19" s="14" t="s">
        <v>24</v>
      </c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2026-03-01T08:07:59Z</dcterms:modified>
</cp:coreProperties>
</file>
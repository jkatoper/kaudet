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90444E9C-4249-47E8-9EB0-729BB10D851B}" xr6:coauthVersionLast="47" xr6:coauthVersionMax="47" xr10:uidLastSave="{00000000-0000-0000-0000-000000000000}"/>
  <bookViews>
    <workbookView xWindow="-108" yWindow="-108" windowWidth="23256" windowHeight="13896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Q2" i="18"/>
  <c r="F2" i="10" s="1"/>
  <c r="O2" i="18"/>
  <c r="D2" i="10" s="1"/>
  <c r="Q4" i="18"/>
  <c r="J2" i="10" s="1"/>
  <c r="O4" i="18"/>
  <c r="I2" i="10" s="1"/>
  <c r="M4" i="10" l="1"/>
  <c r="G4" i="10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<sst xmlns="http://schemas.openxmlformats.org/spreadsheetml/2006/main" count="93" uniqueCount="51">
  <si>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</si>
  <si>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</si>
  <si>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</si>
  <si>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</si>
  <si>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</si>
  <si>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</si>
  <si>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</si>
  <si>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</si>
  <si>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</si>
  <si>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</si>
  <si>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</si>
  <si>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</si>
  <si>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</si>
  <si>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</si>
  <si>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</si>
  <si>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</si>
  <si>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</si>
  <si>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</si>
  <si>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</si>
  <si>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</si>
  <si>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</si>
  <si>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</si>
  <si>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</si>
  <si>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</si>
  <si>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</si>
  <si>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</si>
  <si>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</si>
  <si>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</si>
  <si>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</si>
  <si>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</si>
  <si>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</si>
  <si>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</si>
  <si>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</si>
  <si>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</si>
  <si>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</si>
  <si>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</si>
  <si>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</si>
  <si>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</si>
  <si>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</si>
  <si>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</si>
  <si>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</si>
  <si>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</si>
  <si>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</si>
  <si>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</si>
  <si>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</si>
  <si>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</si>
  <si>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</si>
  <si>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</si>
  <si>
    <t>25-23,25-23,13-25,25-23</t>
  </si>
  <si>
    <t>25-22,21-25,25-16,15-25,10-15</t>
  </si>
  <si>
    <t>25-20,11-25,25-20,22-25,11-15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</si>
</sst>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11</v>
      </c>
      <c r="D2" s="10">
        <f>'M2 2025-2026'!O2</f>
        <v>4</v>
      </c>
      <c r="E2" s="10"/>
      <c r="F2" s="10">
        <f>'M2 2025-2026'!Q2</f>
        <v>7</v>
      </c>
      <c r="G2" s="10">
        <f>'M2 2025-2026'!O3</f>
        <v>14</v>
      </c>
      <c r="H2" s="10">
        <f>'M2 2025-2026'!Q3</f>
        <v>19</v>
      </c>
      <c r="I2" s="10">
        <f>'M2 2025-2026'!O4</f>
        <v>940</v>
      </c>
      <c r="J2" s="10">
        <f>'M2 2025-2026'!Q4</f>
        <v>1007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11</v>
      </c>
      <c r="D4" s="11">
        <f t="shared" si="0"/>
        <v>4</v>
      </c>
      <c r="E4" s="11">
        <f t="shared" si="0"/>
        <v>0</v>
      </c>
      <c r="F4" s="11">
        <f t="shared" si="0"/>
        <v>7</v>
      </c>
      <c r="G4" s="12">
        <f t="shared" si="0"/>
        <v>14</v>
      </c>
      <c r="H4" s="12">
        <f t="shared" si="0"/>
        <v>19</v>
      </c>
      <c r="I4" s="12">
        <f t="shared" si="0"/>
        <v>940</v>
      </c>
      <c r="J4" s="12">
        <f t="shared" si="0"/>
        <v>1007</v>
      </c>
      <c r="K4" s="10"/>
      <c r="M4">
        <f>'M2 2025-2026'!Q2</f>
        <v>7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1" workbookViewId="0">
      <selection activeCell="M17" sqref="M17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4</v>
      </c>
      <c r="P2" s="10"/>
      <c r="Q2" s="10">
        <f>SUM(J2:J25)+SUM(I2:I25)</f>
        <v>7</v>
      </c>
      <c r="R2" s="10">
        <f>SUM(O2:Q2)</f>
        <v>11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14</v>
      </c>
      <c r="P3" s="8"/>
      <c r="Q3" s="8">
        <f>SUM(J2:J25)*3+SUM(I2:I25)*2+SUM(H2:H25)</f>
        <v>19</v>
      </c>
      <c r="R3" s="8">
        <f>SUM(O3:Q3)</f>
        <v>33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940</v>
      </c>
      <c r="P4" s="10"/>
      <c r="Q4" s="10">
        <f>SUM(L2:L30)</f>
        <v>1007</v>
      </c>
      <c r="R4" s="10">
        <f>SUM(O4:Q4)</f>
        <v>1947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ht="43.2" x14ac:dyDescent="0.3">
      <c r="A10" s="19"/>
      <c r="B10" s="20"/>
      <c r="C10" s="20" t="s">
        <v>21</v>
      </c>
      <c r="D10" s="20" t="s">
        <v>43</v>
      </c>
      <c r="E10" s="21" t="s">
        <v>38</v>
      </c>
      <c r="F10" s="22" t="s">
        <v>48</v>
      </c>
      <c r="G10" s="22">
        <v>1</v>
      </c>
      <c r="H10" s="10"/>
      <c r="I10" s="10"/>
      <c r="J10" s="10"/>
      <c r="K10" s="10">
        <v>88</v>
      </c>
      <c r="L10" s="10">
        <v>94</v>
      </c>
      <c r="M10" s="10"/>
      <c r="N10" s="10"/>
      <c r="O10" s="10"/>
      <c r="P10" s="10"/>
      <c r="Q10" s="10"/>
      <c r="R10" s="10"/>
    </row>
    <row r="11" spans="1:19" ht="43.2" x14ac:dyDescent="0.3">
      <c r="A11" s="13"/>
      <c r="B11" s="14"/>
      <c r="C11" s="14" t="s">
        <v>21</v>
      </c>
      <c r="D11" s="14" t="s">
        <v>44</v>
      </c>
      <c r="E11" s="15" t="s">
        <v>41</v>
      </c>
      <c r="F11" s="16" t="s">
        <v>49</v>
      </c>
      <c r="G11" s="8"/>
      <c r="H11" s="8"/>
      <c r="I11" s="8">
        <v>1</v>
      </c>
      <c r="J11" s="8"/>
      <c r="K11" s="8">
        <v>96</v>
      </c>
      <c r="L11" s="8">
        <v>103</v>
      </c>
      <c r="M11" s="8"/>
      <c r="N11" s="8"/>
      <c r="O11" s="8"/>
      <c r="P11" s="8"/>
      <c r="Q11" s="8"/>
      <c r="R11" s="8"/>
    </row>
    <row r="12" spans="1:19" ht="43.2" x14ac:dyDescent="0.3">
      <c r="A12" s="19"/>
      <c r="B12" s="20"/>
      <c r="C12" s="20" t="s">
        <v>21</v>
      </c>
      <c r="D12" s="20" t="s">
        <v>45</v>
      </c>
      <c r="E12" s="21" t="s">
        <v>41</v>
      </c>
      <c r="F12" s="22" t="s">
        <v>50</v>
      </c>
      <c r="G12" s="22"/>
      <c r="H12" s="10"/>
      <c r="I12" s="10">
        <v>1</v>
      </c>
      <c r="J12" s="10"/>
      <c r="K12" s="10">
        <v>94</v>
      </c>
      <c r="L12" s="10">
        <v>105</v>
      </c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 t="s">
        <v>21</v>
      </c>
      <c r="D13" s="14" t="s">
        <v>46</v>
      </c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 t="s">
        <v>21</v>
      </c>
      <c r="D14" s="20" t="s">
        <v>47</v>
      </c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 t="s">
        <v>21</v>
      </c>
      <c r="D15" s="14" t="s">
        <v>43</v>
      </c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 t="s">
        <v>21</v>
      </c>
      <c r="D16" s="20" t="s">
        <v>44</v>
      </c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 t="s">
        <v>21</v>
      </c>
      <c r="D17" s="14" t="s">
        <v>45</v>
      </c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 t="s">
        <v>21</v>
      </c>
      <c r="D18" s="20" t="s">
        <v>46</v>
      </c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 t="s">
        <v>21</v>
      </c>
      <c r="D19" s="14" t="s">
        <v>47</v>
      </c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2026-01-25T15:40:12Z</dcterms:modified>
</cp:coreProperties>
</file>
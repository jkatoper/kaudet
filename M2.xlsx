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1D3580AE-0712-4AC3-8E2D-E8C5B9B80550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6-2027" sheetId="19" r:id="rId2"/>
    <sheet name="M2 2025-2026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0" l="1"/>
  <c r="I3" i="10"/>
  <c r="H3" i="10"/>
  <c r="G3" i="10"/>
  <c r="F3" i="10"/>
  <c r="E3" i="10"/>
  <c r="D3" i="10"/>
  <c r="C2" i="10"/>
  <c r="O2" i="19"/>
  <c r="Q2" i="19"/>
  <c r="O3" i="19"/>
  <c r="Q3" i="19"/>
  <c r="O4" i="19"/>
  <c r="Q4" i="19"/>
  <c r="Q3" i="18"/>
  <c r="H2" i="10" s="1"/>
  <c r="O3" i="18"/>
  <c r="G2" i="10" s="1"/>
  <c r="Q2" i="18"/>
  <c r="F2" i="10" s="1"/>
  <c r="O2" i="18"/>
  <c r="D2" i="10" s="1"/>
  <c r="Q4" i="18"/>
  <c r="J2" i="10" s="1"/>
  <c r="O4" i="18"/>
  <c r="I2" i="10" s="1"/>
  <c r="R4" i="19" l="1"/>
  <c r="R3" i="19"/>
  <c r="R2" i="19"/>
  <c r="C3" i="10" s="1"/>
  <c r="G4" i="10"/>
  <c r="H4" i="10"/>
  <c r="I4" i="10"/>
  <c r="J4" i="10"/>
  <c r="E4" i="10"/>
  <c r="F4" i="10"/>
  <c r="D4" i="10"/>
  <c r="R4" i="18"/>
  <c r="R3" i="18"/>
  <c r="R2" i="18" l="1"/>
  <c r="C4" i="10" s="1"/>
</calcChain>
</file>

<file path=xl/sharedStrings.xml><?xml version="1.0" encoding="utf-8"?>
<sst xmlns="http://schemas.openxmlformats.org/spreadsheetml/2006/main" count="150" uniqueCount="68">
  <si>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</si>
  <si>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</si>
  <si>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</si>
  <si>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</si>
  <si>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</si>
  <si>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</si>
  <si>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</si>
  <si>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</si>
  <si>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</si>
  <si>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</si>
  <si>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</si>
  <si>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</si>
  <si>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</si>
  <si>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</si>
  <si>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</si>
  <si>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</si>
  <si>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</si>
  <si>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</si>
  <si>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</si>
  <si>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</si>
  <si>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</si>
  <si>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</si>
  <si>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</si>
  <si>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</si>
  <si>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</si>
  <si>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</si>
  <si>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</si>
  <si>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</si>
  <si>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</si>
  <si>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</si>
  <si>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</si>
  <si>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</si>
  <si>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</si>
  <si>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</si>
  <si>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</si>
  <si>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</si>
  <si>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</si>
  <si>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</si>
  <si>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</si>
  <si>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</si>
  <si>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</si>
  <si>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</si>
  <si>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</si>
  <si>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</si>
  <si>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</si>
  <si>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</si>
  <si>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</si>
  <si>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</si>
  <si>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</si>
  <si>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</si>
  <si>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</si>
  <si>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</si>
  <si>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</si>
  <si>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</si>
  <si>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</si>
  <si>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</si>
  <si>
    <t>17-25,15-25,18-25</t>
  </si>
  <si>
    <t>21-25,15-25,17-25</t>
  </si>
  <si>
    <t>Pirkat</t>
  </si>
  <si>
    <t>2026-2027</t>
  </si>
  <si>
    <t>20-25,23-25-16-25</t>
  </si>
  <si>
    <t>3.10.2026</t>
  </si>
  <si>
    <t>AitRi</t>
  </si>
  <si>
    <t>27.9.2026</t>
  </si>
  <si>
    <t>16-25,14-25,29-27,19-25</t>
  </si>
  <si>
    <t>NJ</t>
  </si>
  <si>
    <t>11.10.2026</t>
  </si>
  <si>
    <t>9-25,17-25,22-25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</si>
</sst>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M4" sqref="M4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1" x14ac:dyDescent="0.3">
      <c r="A2" s="10" t="s">
        <v>21</v>
      </c>
      <c r="B2" s="10" t="s">
        <v>20</v>
      </c>
      <c r="C2" s="10">
        <f>'M2 2025-2026'!R2</f>
        <v>18</v>
      </c>
      <c r="D2" s="10">
        <f>'M2 2025-2026'!O2</f>
        <v>5</v>
      </c>
      <c r="E2" s="10"/>
      <c r="F2" s="10">
        <f>'M2 2025-2026'!Q2</f>
        <v>13</v>
      </c>
      <c r="G2" s="10">
        <f>'M2 2025-2026'!O3</f>
        <v>16</v>
      </c>
      <c r="H2" s="10">
        <f>'M2 2025-2026'!Q3</f>
        <v>38</v>
      </c>
      <c r="I2" s="10">
        <f>'M2 2025-2026'!O4</f>
        <v>1414</v>
      </c>
      <c r="J2" s="10">
        <f>'M2 2025-2026'!Q4</f>
        <v>1595</v>
      </c>
      <c r="K2" s="10"/>
    </row>
    <row r="3" spans="1:11" x14ac:dyDescent="0.3">
      <c r="A3" s="8" t="s">
        <v>58</v>
      </c>
      <c r="B3" s="8" t="s">
        <v>59</v>
      </c>
      <c r="C3" s="24">
        <f>'M2 2026-2027'!R2</f>
        <v>3</v>
      </c>
      <c r="D3" s="24">
        <f>'M2 2026-2027'!S2</f>
        <v>0</v>
      </c>
      <c r="E3" s="24">
        <f>'M2 2026-2027'!T2</f>
        <v>0</v>
      </c>
      <c r="F3" s="24">
        <f>'M2 2026-2027'!U2</f>
        <v>0</v>
      </c>
      <c r="G3" s="24">
        <f>'M2 2026-2027'!V2</f>
        <v>0</v>
      </c>
      <c r="H3" s="24">
        <f>'M2 2026-2027'!W2</f>
        <v>0</v>
      </c>
      <c r="I3" s="24">
        <f>'M2 2026-2027'!X2</f>
        <v>0</v>
      </c>
      <c r="J3" s="24">
        <f>'M2 2026-2027'!Y2</f>
        <v>0</v>
      </c>
      <c r="K3" s="8"/>
    </row>
    <row r="4" spans="1:11" x14ac:dyDescent="0.3">
      <c r="A4" s="10"/>
      <c r="B4" s="11" t="s">
        <v>6</v>
      </c>
      <c r="C4" s="11">
        <f t="shared" ref="C4:J4" si="0">SUM(C2:C3)</f>
        <v>21</v>
      </c>
      <c r="D4" s="11">
        <f t="shared" si="0"/>
        <v>5</v>
      </c>
      <c r="E4" s="11">
        <f t="shared" si="0"/>
        <v>0</v>
      </c>
      <c r="F4" s="11">
        <f t="shared" si="0"/>
        <v>13</v>
      </c>
      <c r="G4" s="12">
        <f t="shared" si="0"/>
        <v>16</v>
      </c>
      <c r="H4" s="12">
        <f t="shared" si="0"/>
        <v>38</v>
      </c>
      <c r="I4" s="12">
        <f t="shared" si="0"/>
        <v>1414</v>
      </c>
      <c r="J4" s="12">
        <f t="shared" si="0"/>
        <v>1595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FAF1-4C65-4493-914F-5EE4E979A5B2}">
  <dimension ref="A1:S29"/>
  <sheetViews>
    <sheetView tabSelected="1" workbookViewId="0">
      <selection activeCell="M4" sqref="M4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 t="s">
        <v>24</v>
      </c>
      <c r="B2" s="20" t="s">
        <v>63</v>
      </c>
      <c r="C2" s="20" t="s">
        <v>58</v>
      </c>
      <c r="D2" s="20" t="s">
        <v>62</v>
      </c>
      <c r="E2" s="21" t="s">
        <v>27</v>
      </c>
      <c r="F2" s="20" t="s">
        <v>64</v>
      </c>
      <c r="G2" s="20"/>
      <c r="H2" s="10"/>
      <c r="I2" s="10"/>
      <c r="J2" s="10">
        <v>1</v>
      </c>
      <c r="K2" s="10">
        <v>78</v>
      </c>
      <c r="L2" s="10">
        <v>102</v>
      </c>
      <c r="M2" s="10"/>
      <c r="N2" s="11" t="s">
        <v>8</v>
      </c>
      <c r="O2" s="10">
        <f>SUM(G2:G25)+SUM(H2:H25)</f>
        <v>0</v>
      </c>
      <c r="P2" s="10"/>
      <c r="Q2" s="10">
        <f>SUM(J2:J25)+SUM(I2:I25)</f>
        <v>3</v>
      </c>
      <c r="R2" s="10">
        <f>SUM(O2:Q2)</f>
        <v>3</v>
      </c>
    </row>
    <row r="3" spans="1:19" ht="28.8" x14ac:dyDescent="0.3">
      <c r="A3" s="23" t="s">
        <v>7</v>
      </c>
      <c r="B3" s="15" t="s">
        <v>61</v>
      </c>
      <c r="C3" s="14" t="s">
        <v>58</v>
      </c>
      <c r="D3" s="14" t="s">
        <v>30</v>
      </c>
      <c r="E3" s="15" t="s">
        <v>36</v>
      </c>
      <c r="F3" s="14" t="s">
        <v>60</v>
      </c>
      <c r="G3" s="8"/>
      <c r="H3" s="8"/>
      <c r="I3" s="8"/>
      <c r="J3" s="8">
        <v>1</v>
      </c>
      <c r="K3" s="8">
        <v>59</v>
      </c>
      <c r="L3" s="8">
        <v>75</v>
      </c>
      <c r="M3" s="8"/>
      <c r="N3" s="7" t="s">
        <v>4</v>
      </c>
      <c r="O3" s="8">
        <f>SUM(G2:G25)*3+SUM(H2:H25)*2+SUM(I2:I25)</f>
        <v>0</v>
      </c>
      <c r="P3" s="8"/>
      <c r="Q3" s="8">
        <f>SUM(J2:J25)*3+SUM(I2:I25)*2+SUM(H2:H25)</f>
        <v>9</v>
      </c>
      <c r="R3" s="8">
        <f>SUM(O3:Q3)</f>
        <v>9</v>
      </c>
    </row>
    <row r="4" spans="1:19" ht="28.8" x14ac:dyDescent="0.3">
      <c r="A4" s="19" t="s">
        <v>24</v>
      </c>
      <c r="B4" s="21" t="s">
        <v>66</v>
      </c>
      <c r="C4" s="20" t="s">
        <v>58</v>
      </c>
      <c r="D4" s="20" t="s">
        <v>65</v>
      </c>
      <c r="E4" s="21" t="s">
        <v>36</v>
      </c>
      <c r="F4" s="20" t="s">
        <v>67</v>
      </c>
      <c r="G4" s="10"/>
      <c r="H4" s="10"/>
      <c r="I4" s="10"/>
      <c r="J4" s="10">
        <v>1</v>
      </c>
      <c r="K4" s="10">
        <v>48</v>
      </c>
      <c r="L4" s="10">
        <v>75</v>
      </c>
      <c r="M4" s="10"/>
      <c r="N4" s="11" t="s">
        <v>9</v>
      </c>
      <c r="O4" s="10">
        <f>SUM(K2:K30)</f>
        <v>185</v>
      </c>
      <c r="P4" s="10"/>
      <c r="Q4" s="10">
        <f>SUM(L2:L30)</f>
        <v>252</v>
      </c>
      <c r="R4" s="10">
        <f>SUM(O4:Q4)</f>
        <v>437</v>
      </c>
    </row>
    <row r="5" spans="1:19" x14ac:dyDescent="0.3">
      <c r="A5" s="13"/>
      <c r="B5" s="15"/>
      <c r="C5" s="14"/>
      <c r="D5" s="14"/>
      <c r="E5" s="15"/>
      <c r="F5" s="16"/>
      <c r="G5" s="16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1:19" x14ac:dyDescent="0.3">
      <c r="A6" s="19"/>
      <c r="B6" s="21"/>
      <c r="C6" s="20"/>
      <c r="D6" s="20"/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/>
      <c r="B7" s="15"/>
      <c r="C7" s="14"/>
      <c r="D7" s="14"/>
      <c r="E7" s="15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/>
      <c r="B8" s="21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5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1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5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1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5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1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5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1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5"/>
      <c r="C17" s="14"/>
      <c r="D17" s="14"/>
      <c r="E17" s="15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1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5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1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5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1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5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1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5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opLeftCell="B1" workbookViewId="0">
      <selection activeCell="J18" sqref="J18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13</v>
      </c>
      <c r="R2" s="10">
        <f>SUM(O2:Q2)</f>
        <v>18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38</v>
      </c>
      <c r="R3" s="8">
        <f>SUM(O3:Q3)</f>
        <v>54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1414</v>
      </c>
      <c r="P4" s="10"/>
      <c r="Q4" s="10">
        <f>SUM(L2:L30)</f>
        <v>1595</v>
      </c>
      <c r="R4" s="10">
        <f>SUM(O4:Q4)</f>
        <v>3009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>
        <v>46032</v>
      </c>
      <c r="B10" s="20" t="s">
        <v>7</v>
      </c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>
        <v>46040</v>
      </c>
      <c r="B11" s="14" t="s">
        <v>24</v>
      </c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>
        <v>46047</v>
      </c>
      <c r="B12" s="20" t="s">
        <v>24</v>
      </c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>
        <v>46054</v>
      </c>
      <c r="B13" s="14" t="s">
        <v>24</v>
      </c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>
        <v>46061</v>
      </c>
      <c r="B14" s="20" t="s">
        <v>24</v>
      </c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>
        <v>46068</v>
      </c>
      <c r="B15" s="14" t="s">
        <v>24</v>
      </c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>
        <v>46075</v>
      </c>
      <c r="B16" s="20" t="s">
        <v>24</v>
      </c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>
        <v>46081</v>
      </c>
      <c r="B17" s="14" t="s">
        <v>7</v>
      </c>
      <c r="C17" s="14" t="s">
        <v>21</v>
      </c>
      <c r="D17" s="14" t="s">
        <v>45</v>
      </c>
      <c r="E17" s="15" t="s">
        <v>34</v>
      </c>
      <c r="F17" s="16" t="s">
        <v>55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ht="28.8" x14ac:dyDescent="0.3">
      <c r="A18" s="19">
        <v>46089</v>
      </c>
      <c r="B18" s="20" t="s">
        <v>24</v>
      </c>
      <c r="C18" s="20" t="s">
        <v>21</v>
      </c>
      <c r="D18" s="20" t="s">
        <v>46</v>
      </c>
      <c r="E18" s="21" t="s">
        <v>36</v>
      </c>
      <c r="F18" s="22" t="s">
        <v>56</v>
      </c>
      <c r="G18" s="22"/>
      <c r="H18" s="10"/>
      <c r="I18" s="10"/>
      <c r="J18" s="10">
        <v>1</v>
      </c>
      <c r="K18" s="10">
        <v>50</v>
      </c>
      <c r="L18" s="10">
        <v>75</v>
      </c>
      <c r="M18" s="10"/>
      <c r="N18" s="10"/>
      <c r="O18" s="10"/>
      <c r="P18" s="10"/>
      <c r="Q18" s="10"/>
      <c r="R18" s="10"/>
    </row>
    <row r="19" spans="1:18" ht="28.8" x14ac:dyDescent="0.3">
      <c r="A19" s="18">
        <v>45731</v>
      </c>
      <c r="B19" s="14" t="s">
        <v>24</v>
      </c>
      <c r="C19" s="14" t="s">
        <v>21</v>
      </c>
      <c r="D19" s="14" t="s">
        <v>47</v>
      </c>
      <c r="E19" s="14" t="s">
        <v>36</v>
      </c>
      <c r="F19" s="16" t="s">
        <v>57</v>
      </c>
      <c r="G19" s="8"/>
      <c r="H19" s="8"/>
      <c r="I19" s="8"/>
      <c r="J19" s="8">
        <v>1</v>
      </c>
      <c r="K19" s="8">
        <v>53</v>
      </c>
      <c r="L19" s="8">
        <v>75</v>
      </c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 2025-2027</vt:lpstr>
      <vt:lpstr>M2 2026-2027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2026-10-11T13:37:12Z</dcterms:modified>
</cp:coreProperties>
</file>
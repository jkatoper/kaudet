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CA7D9AB3-5465-467D-8869-93DF1E48645E}" xr6:coauthVersionLast="47" xr6:coauthVersionMax="47" xr10:uidLastSave="{00000000-0000-0000-0000-000000000000}"/>
  <bookViews>
    <workbookView xWindow="768" yWindow="156" windowWidth="21156" windowHeight="12828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<sst xmlns="http://schemas.openxmlformats.org/spreadsheetml/2006/main" count="101" uniqueCount="55">
  <si>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</si>
  <si>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</si>
  <si>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</si>
  <si>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</si>
  <si>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</si>
  <si>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</si>
  <si>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</si>
  <si>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</si>
  <si>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</si>
  <si>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</si>
  <si>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</si>
  <si>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</si>
  <si>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</si>
  <si>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</si>
  <si>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</si>
  <si>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</si>
  <si>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</si>
  <si>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</si>
  <si>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</si>
  <si>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</si>
  <si>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</si>
  <si>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</si>
  <si>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</si>
  <si>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</si>
  <si>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</si>
  <si>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</si>
  <si>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</si>
  <si>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</si>
  <si>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</si>
  <si>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</si>
  <si>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</si>
  <si>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</si>
  <si>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</si>
  <si>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</si>
  <si>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</si>
  <si>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</si>
  <si>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</si>
  <si>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</si>
  <si>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</si>
  <si>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</si>
  <si>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</si>
  <si>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</si>
  <si>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</si>
  <si>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</si>
  <si>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</si>
  <si>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</si>
  <si>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</si>
  <si>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</si>
  <si>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</si>
  <si>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</si>
  <si>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</si>
  <si>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</si>
  <si>
    <t>25-17,21-25,15-25,24-26</t>
  </si>
  <si>
    <t>17-25,17-25,16-25</t>
  </si>
  <si>
    <t>17-25,19-25,11-25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</si>
</sst>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15</v>
      </c>
      <c r="D2" s="10">
        <f>'M2 2025-2026'!O2</f>
        <v>4</v>
      </c>
      <c r="E2" s="10"/>
      <c r="F2" s="10">
        <f>'M2 2025-2026'!Q2</f>
        <v>11</v>
      </c>
      <c r="G2" s="10">
        <f>'M2 2025-2026'!O3</f>
        <v>14</v>
      </c>
      <c r="H2" s="10">
        <f>'M2 2025-2026'!Q3</f>
        <v>31</v>
      </c>
      <c r="I2" s="10">
        <f>'M2 2025-2026'!O4</f>
        <v>1201</v>
      </c>
      <c r="J2" s="10">
        <f>'M2 2025-2026'!Q4</f>
        <v>1349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15</v>
      </c>
      <c r="D4" s="11">
        <f t="shared" si="0"/>
        <v>4</v>
      </c>
      <c r="E4" s="11">
        <f t="shared" si="0"/>
        <v>0</v>
      </c>
      <c r="F4" s="11">
        <f t="shared" si="0"/>
        <v>11</v>
      </c>
      <c r="G4" s="12">
        <f t="shared" si="0"/>
        <v>14</v>
      </c>
      <c r="H4" s="12">
        <f t="shared" si="0"/>
        <v>31</v>
      </c>
      <c r="I4" s="12">
        <f t="shared" si="0"/>
        <v>1201</v>
      </c>
      <c r="J4" s="12">
        <f t="shared" si="0"/>
        <v>1349</v>
      </c>
      <c r="K4" s="10"/>
      <c r="M4">
        <f>'M2 2025-2026'!Q2</f>
        <v>11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11" workbookViewId="0">
      <selection activeCell="K17" sqref="K17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4</v>
      </c>
      <c r="P2" s="10"/>
      <c r="Q2" s="10">
        <f>SUM(J2:J25)+SUM(I2:I25)</f>
        <v>11</v>
      </c>
      <c r="R2" s="10">
        <f>SUM(O2:Q2)</f>
        <v>15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14</v>
      </c>
      <c r="P3" s="8"/>
      <c r="Q3" s="8">
        <f>SUM(J2:J25)*3+SUM(I2:I25)*2+SUM(H2:H25)</f>
        <v>31</v>
      </c>
      <c r="R3" s="8">
        <f>SUM(O3:Q3)</f>
        <v>45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1201</v>
      </c>
      <c r="P4" s="10"/>
      <c r="Q4" s="10">
        <f>SUM(L2:L30)</f>
        <v>1349</v>
      </c>
      <c r="R4" s="10">
        <f>SUM(O4:Q4)</f>
        <v>2550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/>
      <c r="B10" s="20"/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/>
      <c r="B11" s="14"/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/>
      <c r="B12" s="20"/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/>
      <c r="B13" s="14"/>
      <c r="C13" s="14" t="s">
        <v>21</v>
      </c>
      <c r="D13" s="14" t="s">
        <v>46</v>
      </c>
      <c r="E13" s="17" t="s">
        <v>27</v>
      </c>
      <c r="F13" s="16" t="s">
        <v>51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ht="43.2" x14ac:dyDescent="0.3">
      <c r="A14" s="19"/>
      <c r="B14" s="20"/>
      <c r="C14" s="20" t="s">
        <v>21</v>
      </c>
      <c r="D14" s="20" t="s">
        <v>47</v>
      </c>
      <c r="E14" s="21" t="s">
        <v>27</v>
      </c>
      <c r="F14" s="22" t="s">
        <v>52</v>
      </c>
      <c r="G14" s="22"/>
      <c r="H14" s="10"/>
      <c r="I14" s="10"/>
      <c r="J14" s="10">
        <v>1</v>
      </c>
      <c r="K14" s="10">
        <v>85</v>
      </c>
      <c r="L14" s="10">
        <v>92</v>
      </c>
      <c r="M14" s="10"/>
      <c r="N14" s="10"/>
      <c r="O14" s="10"/>
      <c r="P14" s="10"/>
      <c r="Q14" s="10"/>
      <c r="R14" s="10"/>
    </row>
    <row r="15" spans="1:19" ht="28.8" x14ac:dyDescent="0.3">
      <c r="A15" s="18"/>
      <c r="B15" s="14"/>
      <c r="C15" s="14" t="s">
        <v>21</v>
      </c>
      <c r="D15" s="14" t="s">
        <v>43</v>
      </c>
      <c r="E15" s="14" t="s">
        <v>36</v>
      </c>
      <c r="F15" s="16" t="s">
        <v>53</v>
      </c>
      <c r="G15" s="8"/>
      <c r="H15" s="8"/>
      <c r="I15" s="8"/>
      <c r="J15" s="8">
        <v>1</v>
      </c>
      <c r="K15" s="8">
        <v>50</v>
      </c>
      <c r="L15" s="8">
        <v>75</v>
      </c>
      <c r="M15" s="8"/>
      <c r="N15" s="8"/>
      <c r="O15" s="8"/>
      <c r="P15" s="8"/>
      <c r="Q15" s="8"/>
      <c r="R15" s="8"/>
    </row>
    <row r="16" spans="1:19" ht="28.8" x14ac:dyDescent="0.3">
      <c r="A16" s="19"/>
      <c r="B16" s="20"/>
      <c r="C16" s="20" t="s">
        <v>21</v>
      </c>
      <c r="D16" s="20" t="s">
        <v>44</v>
      </c>
      <c r="E16" s="21" t="s">
        <v>36</v>
      </c>
      <c r="F16" s="22" t="s">
        <v>54</v>
      </c>
      <c r="G16" s="22"/>
      <c r="H16" s="10"/>
      <c r="I16" s="10"/>
      <c r="J16" s="10">
        <v>1</v>
      </c>
      <c r="K16" s="10">
        <v>47</v>
      </c>
      <c r="L16" s="10">
        <v>75</v>
      </c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 t="s">
        <v>21</v>
      </c>
      <c r="D17" s="14" t="s">
        <v>45</v>
      </c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 t="s">
        <v>21</v>
      </c>
      <c r="D18" s="20" t="s">
        <v>46</v>
      </c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2026-02-22T16:45:55Z</dcterms:modified>
</cp:coreProperties>
</file>
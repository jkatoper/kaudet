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3C6E0829-1CCA-4630-8A3E-A27772A203D4}" xr6:coauthVersionLast="47" xr6:coauthVersionMax="47" xr10:uidLastSave="{00000000-0000-0000-0000-000000000000}"/>
  <bookViews>
    <workbookView xWindow="324" yWindow="384" windowWidth="22716" windowHeight="12828" tabRatio="880" activeTab="1" xr2:uid="{CFC6D258-5D3C-46F8-BFEC-F3C271445404}"/>
  </bookViews>
  <sheets>
    <sheet name="M2 2025-2027" sheetId="10" r:id="rId1"/>
    <sheet name="M2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H2" i="10" s="1"/>
  <c r="O3" i="18"/>
  <c r="G2" i="10" s="1"/>
  <c r="Q2" i="18"/>
  <c r="F2" i="10" s="1"/>
  <c r="O2" i="18"/>
  <c r="D2" i="10" s="1"/>
  <c r="Q4" i="18"/>
  <c r="J2" i="10" s="1"/>
  <c r="O4" i="18"/>
  <c r="I2" i="10" s="1"/>
  <c r="M4" i="10" l="1"/>
  <c r="G4" i="10"/>
  <c r="H4" i="10"/>
  <c r="I4" i="10"/>
  <c r="J4" i="10"/>
  <c r="E4" i="10"/>
  <c r="F4" i="10"/>
  <c r="D4" i="10"/>
  <c r="R4" i="18"/>
  <c r="R3" i="18"/>
  <c r="R2" i="18" l="1"/>
  <c r="C2" i="10" s="1"/>
  <c r="C4" i="10" s="1"/>
</calcChain>
</file>

<file path=xl/sharedStrings.xml><?xml version="1.0" encoding="utf-8"?>
<sst xmlns="http://schemas.openxmlformats.org/spreadsheetml/2006/main" count="91" uniqueCount="50">
  <si>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</si>
  <si>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</si>
  <si>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</si>
  <si>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</si>
  <si>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</si>
  <si>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</si>
  <si>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</si>
  <si>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</si>
  <si>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</si>
  <si>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</si>
  <si>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</si>
  <si>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</si>
  <si>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</si>
  <si>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</si>
  <si>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</si>
  <si>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</si>
  <si>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</si>
  <si>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</si>
  <si>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</si>
  <si>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</si>
  <si>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2025-2026</t>
  </si>
  <si>
    <t>Kajastus</t>
  </si>
  <si>
    <t>Huki</t>
  </si>
  <si>
    <t>LiVo</t>
  </si>
  <si>
    <t>Su</t>
  </si>
  <si>
    <t>3-0</t>
  </si>
  <si>
    <t>25-20,25-20,25-21</t>
  </si>
  <si>
    <t>1-3</t>
  </si>
  <si>
    <t>21-25,12-25,25-22,12-25</t>
  </si>
  <si>
    <t>KoLe-57</t>
  </si>
  <si>
    <t>JyLe</t>
  </si>
  <si>
    <t>pisteet KaJe</t>
  </si>
  <si>
    <t>eräpisteet Kaje</t>
  </si>
  <si>
    <t>29-27,22-25,19-25,19-25</t>
  </si>
  <si>
    <t>3-2</t>
  </si>
  <si>
    <t>21-25,25-20,22-25,27-25,16-14</t>
  </si>
  <si>
    <t>0-3</t>
  </si>
  <si>
    <t>20-25-20-25,13-25</t>
  </si>
  <si>
    <t>3-1</t>
  </si>
  <si>
    <t>25-19,25-16,23-25,25-22</t>
  </si>
  <si>
    <t>18-25,25-27,18-25</t>
  </si>
  <si>
    <t>2-3</t>
  </si>
  <si>
    <t>25-18,25-18,19-25,24-26,12-15</t>
  </si>
  <si>
    <t>KoKa</t>
  </si>
  <si>
    <t>VaLePa</t>
  </si>
  <si>
    <t>PuMa</t>
  </si>
  <si>
    <t>Lempo-Volley</t>
  </si>
  <si>
    <t>TamRy</t>
  </si>
  <si>
    <t>25-23,25-23,13-25,25-23</t>
  </si>
  <si>
    <t>25-22,21-25,25-16,15-25,10-15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</si>
</sst>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M4"/>
  <sheetViews>
    <sheetView workbookViewId="0">
      <selection activeCell="G21" sqref="G21"/>
    </sheetView>
  </sheetViews>
  <sheetFormatPr defaultRowHeight="14.4" x14ac:dyDescent="0.3"/>
  <cols>
    <col min="1" max="11" width="10.77734375" customWidth="1"/>
  </cols>
  <sheetData>
    <row r="1" spans="1:13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31</v>
      </c>
      <c r="H1" s="9" t="s">
        <v>17</v>
      </c>
      <c r="I1" s="9" t="s">
        <v>32</v>
      </c>
      <c r="J1" s="9" t="s">
        <v>18</v>
      </c>
      <c r="K1" s="9" t="s">
        <v>19</v>
      </c>
    </row>
    <row r="2" spans="1:13" x14ac:dyDescent="0.3">
      <c r="A2" s="10" t="s">
        <v>21</v>
      </c>
      <c r="B2" s="10" t="s">
        <v>20</v>
      </c>
      <c r="C2" s="10">
        <f>'M2 2025-2026'!R2</f>
        <v>10</v>
      </c>
      <c r="D2" s="10">
        <f>'M2 2025-2026'!O2</f>
        <v>4</v>
      </c>
      <c r="E2" s="10"/>
      <c r="F2" s="10">
        <f>'M2 2025-2026'!Q2</f>
        <v>6</v>
      </c>
      <c r="G2" s="10">
        <f>'M2 2025-2026'!O3</f>
        <v>13</v>
      </c>
      <c r="H2" s="10">
        <f>'M2 2025-2026'!Q3</f>
        <v>17</v>
      </c>
      <c r="I2" s="10">
        <f>'M2 2025-2026'!O4</f>
        <v>846</v>
      </c>
      <c r="J2" s="10">
        <f>'M2 2025-2026'!Q4</f>
        <v>902</v>
      </c>
      <c r="K2" s="10"/>
    </row>
    <row r="3" spans="1:13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3" x14ac:dyDescent="0.3">
      <c r="A4" s="10"/>
      <c r="B4" s="11" t="s">
        <v>6</v>
      </c>
      <c r="C4" s="11">
        <f t="shared" ref="C4:J4" si="0">SUM(C2:C3)</f>
        <v>10</v>
      </c>
      <c r="D4" s="11">
        <f t="shared" si="0"/>
        <v>4</v>
      </c>
      <c r="E4" s="11">
        <f t="shared" si="0"/>
        <v>0</v>
      </c>
      <c r="F4" s="11">
        <f t="shared" si="0"/>
        <v>6</v>
      </c>
      <c r="G4" s="12">
        <f t="shared" si="0"/>
        <v>13</v>
      </c>
      <c r="H4" s="12">
        <f t="shared" si="0"/>
        <v>17</v>
      </c>
      <c r="I4" s="12">
        <f t="shared" si="0"/>
        <v>846</v>
      </c>
      <c r="J4" s="12">
        <f t="shared" si="0"/>
        <v>902</v>
      </c>
      <c r="K4" s="10"/>
      <c r="M4">
        <f>'M2 2025-2026'!Q2</f>
        <v>6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topLeftCell="C1" workbookViewId="0">
      <selection activeCell="O3" sqref="O3"/>
    </sheetView>
  </sheetViews>
  <sheetFormatPr defaultRowHeight="14.4" x14ac:dyDescent="0.3"/>
  <cols>
    <col min="1" max="3" width="10.77734375" customWidth="1"/>
    <col min="4" max="4" width="13.6640625" customWidth="1"/>
    <col min="5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>
        <v>45949</v>
      </c>
      <c r="B2" s="20" t="s">
        <v>24</v>
      </c>
      <c r="C2" s="20" t="s">
        <v>21</v>
      </c>
      <c r="D2" s="20" t="s">
        <v>22</v>
      </c>
      <c r="E2" s="21" t="s">
        <v>27</v>
      </c>
      <c r="F2" s="20" t="s">
        <v>28</v>
      </c>
      <c r="G2" s="20"/>
      <c r="H2" s="10"/>
      <c r="I2" s="10"/>
      <c r="J2" s="10">
        <v>1</v>
      </c>
      <c r="K2" s="10">
        <v>70</v>
      </c>
      <c r="L2" s="10">
        <v>97</v>
      </c>
      <c r="M2" s="10"/>
      <c r="N2" s="11" t="s">
        <v>8</v>
      </c>
      <c r="O2" s="10">
        <f>SUM(G2:G25)+SUM(H2:H25)</f>
        <v>4</v>
      </c>
      <c r="P2" s="10"/>
      <c r="Q2" s="10">
        <f>SUM(J2:J25)+SUM(I2:I25)</f>
        <v>6</v>
      </c>
      <c r="R2" s="10">
        <f>SUM(O2:Q2)</f>
        <v>10</v>
      </c>
    </row>
    <row r="3" spans="1:19" ht="28.8" x14ac:dyDescent="0.3">
      <c r="A3" s="23">
        <v>45956</v>
      </c>
      <c r="B3" s="15" t="s">
        <v>24</v>
      </c>
      <c r="C3" s="14" t="s">
        <v>21</v>
      </c>
      <c r="D3" s="14" t="s">
        <v>23</v>
      </c>
      <c r="E3" s="15" t="s">
        <v>25</v>
      </c>
      <c r="F3" s="14" t="s">
        <v>26</v>
      </c>
      <c r="G3" s="8">
        <v>1</v>
      </c>
      <c r="H3" s="8"/>
      <c r="I3" s="8"/>
      <c r="J3" s="8"/>
      <c r="K3" s="8">
        <v>75</v>
      </c>
      <c r="L3" s="8">
        <v>61</v>
      </c>
      <c r="M3" s="8"/>
      <c r="N3" s="7" t="s">
        <v>4</v>
      </c>
      <c r="O3" s="8">
        <f>SUM(G2:G25)*3+SUM(H2:H25)*2+SUM(I2:I25)</f>
        <v>13</v>
      </c>
      <c r="P3" s="8"/>
      <c r="Q3" s="8">
        <f>SUM(J2:J25)*3+SUM(I2:I25)*2+SUM(H2:H25)</f>
        <v>17</v>
      </c>
      <c r="R3" s="8">
        <f>SUM(O3:Q3)</f>
        <v>30</v>
      </c>
    </row>
    <row r="4" spans="1:19" ht="43.2" x14ac:dyDescent="0.3">
      <c r="A4" s="19">
        <v>45963</v>
      </c>
      <c r="B4" s="20" t="s">
        <v>24</v>
      </c>
      <c r="C4" s="20" t="s">
        <v>21</v>
      </c>
      <c r="D4" s="20" t="s">
        <v>29</v>
      </c>
      <c r="E4" s="21" t="s">
        <v>27</v>
      </c>
      <c r="F4" s="20" t="s">
        <v>33</v>
      </c>
      <c r="G4" s="10"/>
      <c r="H4" s="10"/>
      <c r="I4" s="10"/>
      <c r="J4" s="10">
        <v>1</v>
      </c>
      <c r="K4" s="10">
        <v>89</v>
      </c>
      <c r="L4" s="10">
        <v>102</v>
      </c>
      <c r="M4" s="10"/>
      <c r="N4" s="11" t="s">
        <v>9</v>
      </c>
      <c r="O4" s="10">
        <f>SUM(K2:K30)</f>
        <v>846</v>
      </c>
      <c r="P4" s="10"/>
      <c r="Q4" s="10">
        <f>SUM(L2:L30)</f>
        <v>902</v>
      </c>
      <c r="R4" s="10">
        <f>SUM(O4:Q4)</f>
        <v>1748</v>
      </c>
    </row>
    <row r="5" spans="1:19" ht="43.2" x14ac:dyDescent="0.3">
      <c r="A5" s="13">
        <v>45969</v>
      </c>
      <c r="B5" s="14" t="s">
        <v>7</v>
      </c>
      <c r="C5" s="14" t="s">
        <v>21</v>
      </c>
      <c r="D5" s="14" t="s">
        <v>30</v>
      </c>
      <c r="E5" s="15" t="s">
        <v>34</v>
      </c>
      <c r="F5" s="16" t="s">
        <v>35</v>
      </c>
      <c r="G5" s="16"/>
      <c r="H5" s="8">
        <v>1</v>
      </c>
      <c r="I5" s="8"/>
      <c r="J5" s="8"/>
      <c r="K5" s="8">
        <v>111</v>
      </c>
      <c r="L5" s="8">
        <v>109</v>
      </c>
      <c r="M5" s="8"/>
      <c r="N5" s="8"/>
      <c r="O5" s="8"/>
      <c r="P5" s="8"/>
      <c r="Q5" s="8"/>
      <c r="R5" s="8"/>
    </row>
    <row r="6" spans="1:19" ht="28.8" x14ac:dyDescent="0.3">
      <c r="A6" s="19">
        <v>45976</v>
      </c>
      <c r="B6" s="20" t="s">
        <v>7</v>
      </c>
      <c r="C6" s="20" t="s">
        <v>21</v>
      </c>
      <c r="D6" s="20" t="s">
        <v>22</v>
      </c>
      <c r="E6" s="21" t="s">
        <v>36</v>
      </c>
      <c r="F6" s="22" t="s">
        <v>37</v>
      </c>
      <c r="G6" s="22"/>
      <c r="H6" s="10"/>
      <c r="I6" s="10"/>
      <c r="J6" s="10">
        <v>1</v>
      </c>
      <c r="K6" s="10">
        <v>53</v>
      </c>
      <c r="L6" s="10">
        <v>75</v>
      </c>
      <c r="M6" s="10"/>
      <c r="N6" s="10"/>
      <c r="O6" s="10"/>
      <c r="P6" s="10"/>
      <c r="Q6" s="10"/>
      <c r="R6" s="10"/>
    </row>
    <row r="7" spans="1:19" ht="43.2" x14ac:dyDescent="0.3">
      <c r="A7" s="13">
        <v>45991</v>
      </c>
      <c r="B7" s="14" t="s">
        <v>7</v>
      </c>
      <c r="C7" s="14" t="s">
        <v>21</v>
      </c>
      <c r="D7" s="14" t="s">
        <v>23</v>
      </c>
      <c r="E7" s="15" t="s">
        <v>38</v>
      </c>
      <c r="F7" s="16" t="s">
        <v>39</v>
      </c>
      <c r="G7" s="16">
        <v>1</v>
      </c>
      <c r="H7" s="8"/>
      <c r="I7" s="8"/>
      <c r="J7" s="8"/>
      <c r="K7" s="8">
        <v>98</v>
      </c>
      <c r="L7" s="8">
        <v>82</v>
      </c>
      <c r="M7" s="8"/>
      <c r="N7" s="8"/>
      <c r="O7" s="8"/>
      <c r="P7" s="8"/>
      <c r="Q7" s="8"/>
      <c r="R7" s="8"/>
    </row>
    <row r="8" spans="1:19" ht="28.8" x14ac:dyDescent="0.3">
      <c r="A8" s="19">
        <v>45998</v>
      </c>
      <c r="B8" s="20" t="s">
        <v>24</v>
      </c>
      <c r="C8" s="20" t="s">
        <v>21</v>
      </c>
      <c r="D8" s="20" t="s">
        <v>29</v>
      </c>
      <c r="E8" s="21" t="s">
        <v>25</v>
      </c>
      <c r="F8" s="22" t="s">
        <v>40</v>
      </c>
      <c r="G8" s="22"/>
      <c r="H8" s="10"/>
      <c r="I8" s="10"/>
      <c r="J8" s="10">
        <v>1</v>
      </c>
      <c r="K8" s="10">
        <v>61</v>
      </c>
      <c r="L8" s="10">
        <v>77</v>
      </c>
      <c r="M8" s="10"/>
      <c r="N8" s="10"/>
      <c r="O8" s="10"/>
      <c r="P8" s="10"/>
      <c r="Q8" s="10"/>
      <c r="R8" s="10"/>
    </row>
    <row r="9" spans="1:19" ht="43.2" x14ac:dyDescent="0.3">
      <c r="A9" s="13">
        <v>46005</v>
      </c>
      <c r="B9" s="14" t="s">
        <v>24</v>
      </c>
      <c r="C9" s="14" t="s">
        <v>21</v>
      </c>
      <c r="D9" s="14" t="s">
        <v>30</v>
      </c>
      <c r="E9" s="15" t="s">
        <v>41</v>
      </c>
      <c r="F9" s="16" t="s">
        <v>42</v>
      </c>
      <c r="G9" s="8"/>
      <c r="H9" s="8"/>
      <c r="I9" s="8">
        <v>1</v>
      </c>
      <c r="J9" s="8"/>
      <c r="K9" s="8">
        <v>105</v>
      </c>
      <c r="L9" s="8">
        <v>102</v>
      </c>
      <c r="M9" s="8"/>
      <c r="N9" s="8"/>
      <c r="O9" s="8"/>
      <c r="P9" s="8"/>
      <c r="Q9" s="8"/>
      <c r="R9" s="8"/>
    </row>
    <row r="10" spans="1:19" ht="43.2" x14ac:dyDescent="0.3">
      <c r="A10" s="19"/>
      <c r="B10" s="20"/>
      <c r="C10" s="20" t="s">
        <v>21</v>
      </c>
      <c r="D10" s="20" t="s">
        <v>43</v>
      </c>
      <c r="E10" s="21" t="s">
        <v>38</v>
      </c>
      <c r="F10" s="22" t="s">
        <v>48</v>
      </c>
      <c r="G10" s="22">
        <v>1</v>
      </c>
      <c r="H10" s="10"/>
      <c r="I10" s="10"/>
      <c r="J10" s="10"/>
      <c r="K10" s="10">
        <v>88</v>
      </c>
      <c r="L10" s="10">
        <v>94</v>
      </c>
      <c r="M10" s="10"/>
      <c r="N10" s="10"/>
      <c r="O10" s="10"/>
      <c r="P10" s="10"/>
      <c r="Q10" s="10"/>
      <c r="R10" s="10"/>
    </row>
    <row r="11" spans="1:19" ht="43.2" x14ac:dyDescent="0.3">
      <c r="A11" s="13"/>
      <c r="B11" s="14"/>
      <c r="C11" s="14" t="s">
        <v>21</v>
      </c>
      <c r="D11" s="14" t="s">
        <v>44</v>
      </c>
      <c r="E11" s="15" t="s">
        <v>41</v>
      </c>
      <c r="F11" s="16" t="s">
        <v>49</v>
      </c>
      <c r="G11" s="8"/>
      <c r="H11" s="8"/>
      <c r="I11" s="8">
        <v>1</v>
      </c>
      <c r="J11" s="8"/>
      <c r="K11" s="8">
        <v>96</v>
      </c>
      <c r="L11" s="8">
        <v>103</v>
      </c>
      <c r="M11" s="8"/>
      <c r="N11" s="8"/>
      <c r="O11" s="8"/>
      <c r="P11" s="8"/>
      <c r="Q11" s="8"/>
      <c r="R11" s="8"/>
    </row>
    <row r="12" spans="1:19" x14ac:dyDescent="0.3">
      <c r="A12" s="19"/>
      <c r="B12" s="20"/>
      <c r="C12" s="20" t="s">
        <v>21</v>
      </c>
      <c r="D12" s="20" t="s">
        <v>45</v>
      </c>
      <c r="E12" s="21"/>
      <c r="F12" s="22"/>
      <c r="G12" s="22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</row>
    <row r="13" spans="1:19" x14ac:dyDescent="0.3">
      <c r="A13" s="13"/>
      <c r="B13" s="14"/>
      <c r="C13" s="14" t="s">
        <v>21</v>
      </c>
      <c r="D13" s="14" t="s">
        <v>46</v>
      </c>
      <c r="E13" s="17"/>
      <c r="F13" s="16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9" x14ac:dyDescent="0.3">
      <c r="A14" s="19"/>
      <c r="B14" s="20"/>
      <c r="C14" s="20" t="s">
        <v>21</v>
      </c>
      <c r="D14" s="20" t="s">
        <v>47</v>
      </c>
      <c r="E14" s="21"/>
      <c r="F14" s="22"/>
      <c r="G14" s="22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9" x14ac:dyDescent="0.3">
      <c r="A15" s="18"/>
      <c r="B15" s="14"/>
      <c r="C15" s="14" t="s">
        <v>21</v>
      </c>
      <c r="D15" s="14" t="s">
        <v>43</v>
      </c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x14ac:dyDescent="0.3">
      <c r="A16" s="19"/>
      <c r="B16" s="20"/>
      <c r="C16" s="20" t="s">
        <v>21</v>
      </c>
      <c r="D16" s="20" t="s">
        <v>44</v>
      </c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 t="s">
        <v>21</v>
      </c>
      <c r="D17" s="14" t="s">
        <v>45</v>
      </c>
      <c r="E17" s="14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 t="s">
        <v>21</v>
      </c>
      <c r="D18" s="20" t="s">
        <v>46</v>
      </c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 t="s">
        <v>21</v>
      </c>
      <c r="D19" s="14" t="s">
        <v>47</v>
      </c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M2 2025-2027</vt:lpstr>
      <vt:lpstr>M2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2026-01-19T05:12:20Z</dcterms:modified>
</cp:coreProperties>
</file>
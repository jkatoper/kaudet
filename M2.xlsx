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8E410D99-1E28-42B4-826A-4500FD62146D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<sst xmlns="http://schemas.openxmlformats.org/spreadsheetml/2006/main" count="103" uniqueCount="56">
  <si>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</si>
  <si>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</si>
  <si>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</si>
  <si>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</si>
  <si>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</si>
  <si>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</si>
  <si>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</si>
  <si>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</si>
  <si>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</si>
  <si>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</si>
  <si>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</si>
  <si>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</si>
  <si>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</si>
  <si>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</si>
  <si>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</si>
  <si>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</si>
  <si>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</si>
  <si>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</si>
  <si>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</si>
  <si>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</si>
  <si>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</si>
  <si>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</si>
  <si>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</si>
  <si>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</si>
  <si>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</si>
  <si>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</si>
  <si>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</si>
  <si>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</si>
  <si>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</si>
  <si>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</si>
  <si>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</si>
  <si>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</si>
  <si>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</si>
  <si>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</si>
  <si>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</si>
  <si>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</si>
  <si>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</si>
  <si>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</si>
  <si>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</si>
  <si>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</si>
  <si>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</si>
  <si>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</si>
  <si>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</si>
  <si>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</si>
  <si>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</si>
  <si>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</si>
  <si>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</si>
  <si>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</si>
  <si>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</si>
  <si>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</si>
  <si>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</si>
  <si>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</si>
  <si>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</si>
  <si>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</si>
  <si>
    <t>17-25,19-25,11-25</t>
  </si>
  <si>
    <t>25-13,21-25,25-21,24-26,15-11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</si>
</sst>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16</v>
      </c>
      <c r="D2" s="10">
        <f>'M2 2025-2026'!O2</f>
        <v>5</v>
      </c>
      <c r="E2" s="10"/>
      <c r="F2" s="10">
        <f>'M2 2025-2026'!Q2</f>
        <v>11</v>
      </c>
      <c r="G2" s="10">
        <f>'M2 2025-2026'!O3</f>
        <v>16</v>
      </c>
      <c r="H2" s="10">
        <f>'M2 2025-2026'!Q3</f>
        <v>32</v>
      </c>
      <c r="I2" s="10">
        <f>'M2 2025-2026'!O4</f>
        <v>1311</v>
      </c>
      <c r="J2" s="10">
        <f>'M2 2025-2026'!Q4</f>
        <v>1445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16</v>
      </c>
      <c r="D4" s="11">
        <f t="shared" si="0"/>
        <v>5</v>
      </c>
      <c r="E4" s="11">
        <f t="shared" si="0"/>
        <v>0</v>
      </c>
      <c r="F4" s="11">
        <f t="shared" si="0"/>
        <v>11</v>
      </c>
      <c r="G4" s="12">
        <f t="shared" si="0"/>
        <v>16</v>
      </c>
      <c r="H4" s="12">
        <f t="shared" si="0"/>
        <v>32</v>
      </c>
      <c r="I4" s="12">
        <f t="shared" si="0"/>
        <v>1311</v>
      </c>
      <c r="J4" s="12">
        <f t="shared" si="0"/>
        <v>1445</v>
      </c>
      <c r="K4" s="10"/>
      <c r="M4">
        <f>'M2 2025-2026'!Q2</f>
        <v>11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O6" sqref="O6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5</v>
      </c>
      <c r="P2" s="10"/>
      <c r="Q2" s="10">
        <f>SUM(J2:J25)+SUM(I2:I25)</f>
        <v>11</v>
      </c>
      <c r="R2" s="10">
        <f>SUM(O2:Q2)</f>
        <v>16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16</v>
      </c>
      <c r="P3" s="8"/>
      <c r="Q3" s="8">
        <f>SUM(J2:J25)*3+SUM(I2:I25)*2+SUM(H2:H25)</f>
        <v>32</v>
      </c>
      <c r="R3" s="8">
        <f>SUM(O3:Q3)</f>
        <v>48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1311</v>
      </c>
      <c r="P4" s="10"/>
      <c r="Q4" s="10">
        <f>SUM(L2:L30)</f>
        <v>1445</v>
      </c>
      <c r="R4" s="10">
        <f>SUM(O4:Q4)</f>
        <v>2756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/>
      <c r="B10" s="20"/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/>
      <c r="B11" s="14"/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/>
      <c r="B12" s="20"/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/>
      <c r="B13" s="14"/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/>
      <c r="B14" s="20"/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/>
      <c r="B15" s="14"/>
      <c r="C15" s="14" t="s">
        <v>21</v>
      </c>
      <c r="D15" s="14" t="s">
        <v>43</v>
      </c>
      <c r="E15" s="14" t="s">
        <v>36</v>
      </c>
      <c r="F15" s="16" t="s">
        <v>53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ht="28.8" x14ac:dyDescent="0.3">
      <c r="A16" s="19"/>
      <c r="B16" s="20"/>
      <c r="C16" s="20" t="s">
        <v>21</v>
      </c>
      <c r="D16" s="20" t="s">
        <v>44</v>
      </c>
      <c r="E16" s="21" t="s">
        <v>36</v>
      </c>
      <c r="F16" s="22" t="s">
        <v>54</v>
      </c>
      <c r="G16" s="22"/>
      <c r="H16" s="10"/>
      <c r="I16" s="10"/>
      <c r="J16" s="10">
        <v>1</v>
      </c>
      <c r="K16" s="10">
        <v>47</v>
      </c>
      <c r="L16" s="10">
        <v>75</v>
      </c>
      <c r="M16" s="10"/>
      <c r="N16" s="10"/>
      <c r="O16" s="10"/>
      <c r="P16" s="10"/>
      <c r="Q16" s="10"/>
      <c r="R16" s="10"/>
    </row>
    <row r="17" spans="1:18" ht="43.2" x14ac:dyDescent="0.3">
      <c r="A17" s="18"/>
      <c r="B17" s="14"/>
      <c r="C17" s="14" t="s">
        <v>21</v>
      </c>
      <c r="D17" s="14" t="s">
        <v>45</v>
      </c>
      <c r="E17" s="15" t="s">
        <v>34</v>
      </c>
      <c r="F17" s="16" t="s">
        <v>55</v>
      </c>
      <c r="G17" s="8"/>
      <c r="H17" s="8">
        <v>1</v>
      </c>
      <c r="I17" s="8"/>
      <c r="J17" s="8"/>
      <c r="K17" s="8">
        <v>110</v>
      </c>
      <c r="L17" s="8">
        <v>96</v>
      </c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2026-03-01T07:58:10Z</dcterms:modified>
</cp:coreProperties>
</file>
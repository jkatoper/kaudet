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3E9434DB-91DA-425F-80A8-3FCDEFA6716A}" xr6:coauthVersionLast="47" xr6:coauthVersionMax="47" xr10:uidLastSave="{00000000-0000-0000-0000-000000000000}"/>
  <bookViews>
    <workbookView xWindow="1920" yWindow="0" windowWidth="19452" windowHeight="13776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8" l="1"/>
  <c r="F2" i="10" s="1"/>
  <c r="O2" i="18"/>
  <c r="D2" i="10" s="1"/>
  <c r="Q3" i="18"/>
  <c r="H2" i="10" s="1"/>
  <c r="O3" i="18"/>
  <c r="G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<sst xmlns="http://schemas.openxmlformats.org/spreadsheetml/2006/main" count="87" uniqueCount="48">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</sst>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8</v>
      </c>
      <c r="D2" s="10">
        <f>'M2 2025-2026'!O2</f>
        <v>3</v>
      </c>
      <c r="E2" s="10"/>
      <c r="F2" s="10">
        <f>'M2 2025-2026'!Q2</f>
        <v>5</v>
      </c>
      <c r="G2" s="10">
        <f>'M2 2025-2026'!O3</f>
        <v>9</v>
      </c>
      <c r="H2" s="10">
        <f>'M2 2025-2026'!Q3</f>
        <v>15</v>
      </c>
      <c r="I2" s="10">
        <f>'M2 2025-2026'!O4</f>
        <v>662</v>
      </c>
      <c r="J2" s="10">
        <f>'M2 2025-2026'!Q4</f>
        <v>705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8</v>
      </c>
      <c r="D4" s="11">
        <f t="shared" si="0"/>
        <v>3</v>
      </c>
      <c r="E4" s="11">
        <f t="shared" si="0"/>
        <v>0</v>
      </c>
      <c r="F4" s="11">
        <f t="shared" si="0"/>
        <v>5</v>
      </c>
      <c r="G4" s="12">
        <f t="shared" si="0"/>
        <v>9</v>
      </c>
      <c r="H4" s="12">
        <f t="shared" si="0"/>
        <v>15</v>
      </c>
      <c r="I4" s="12">
        <f t="shared" si="0"/>
        <v>662</v>
      </c>
      <c r="J4" s="12">
        <f t="shared" si="0"/>
        <v>705</v>
      </c>
      <c r="K4" s="10"/>
      <c r="M4">
        <f>'M2 2025-2026'!Q2</f>
        <v>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6" workbookViewId="0">
      <selection activeCell="D20" sqref="D20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3</v>
      </c>
      <c r="P2" s="10"/>
      <c r="Q2" s="10">
        <f>SUM(J2:J25)+SUM(I2:I25)</f>
        <v>5</v>
      </c>
      <c r="R2" s="10">
        <f>SUM(O2:Q2)</f>
        <v>8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SUM(G2:G29)*3+SUM(H2:H29)*2+SUM(I2:I29)</f>
        <v>9</v>
      </c>
      <c r="P3" s="8"/>
      <c r="Q3" s="8">
        <f>SUM(J2:J29)*3+SUM(I2:I29)*2+SUM(H2:H29)</f>
        <v>15</v>
      </c>
      <c r="R3" s="8">
        <f>SUM(O3:Q3)</f>
        <v>24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662</v>
      </c>
      <c r="P4" s="10"/>
      <c r="Q4" s="10">
        <f>SUM(L2:L30)</f>
        <v>705</v>
      </c>
      <c r="R4" s="10">
        <f>SUM(O4:Q4)</f>
        <v>1367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 t="s">
        <v>21</v>
      </c>
      <c r="D10" s="20" t="s">
        <v>43</v>
      </c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 t="s">
        <v>21</v>
      </c>
      <c r="D11" s="14" t="s">
        <v>44</v>
      </c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 t="s">
        <v>21</v>
      </c>
      <c r="D12" s="20" t="s">
        <v>45</v>
      </c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ht="28.8" x14ac:dyDescent="0.3">
      <c r="A13" s="13"/>
      <c r="B13" s="14"/>
      <c r="C13" s="14" t="s">
        <v>21</v>
      </c>
      <c r="D13" s="14" t="s">
        <v>46</v>
      </c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 t="s">
        <v>21</v>
      </c>
      <c r="D14" s="20" t="s">
        <v>47</v>
      </c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 t="s">
        <v>21</v>
      </c>
      <c r="D15" s="14" t="s">
        <v>43</v>
      </c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 t="s">
        <v>21</v>
      </c>
      <c r="D16" s="20" t="s">
        <v>44</v>
      </c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 t="s">
        <v>21</v>
      </c>
      <c r="D17" s="14" t="s">
        <v>45</v>
      </c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 t="s">
        <v>21</v>
      </c>
      <c r="D18" s="20" t="s">
        <v>46</v>
      </c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 t="s">
        <v>21</v>
      </c>
      <c r="D19" s="14" t="s">
        <v>47</v>
      </c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2025-12-17T07:08:09Z</dcterms:modified>
</cp:coreProperties>
</file>
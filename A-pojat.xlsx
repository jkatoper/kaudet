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wn_prog\github\kaudet\"/>
    </mc:Choice>
  </mc:AlternateContent>
  <xr:revisionPtr revIDLastSave="0" documentId="13_ncr:1_{5F3145E2-CBEA-4F7E-87EE-3ACC24948179}" xr6:coauthVersionLast="47" xr6:coauthVersionMax="47" xr10:uidLastSave="{00000000-0000-0000-0000-000000000000}"/>
  <bookViews>
    <workbookView xWindow="-108" yWindow="-108" windowWidth="23256" windowHeight="13896" tabRatio="880" activeTab="1" xr2:uid="{CFC6D258-5D3C-46F8-BFEC-F3C271445404}"/>
  </bookViews>
  <sheets>
    <sheet name="A 2025-2027" sheetId="10" r:id="rId1"/>
    <sheet name="A 2026-2027" sheetId="19" r:id="rId2"/>
    <sheet name="A 2025-2026" sheetId="1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0" l="1"/>
  <c r="I3" i="10"/>
  <c r="H3" i="10"/>
  <c r="G3" i="10"/>
  <c r="F3" i="10"/>
  <c r="E3" i="10"/>
  <c r="D3" i="10"/>
  <c r="C3" i="10"/>
  <c r="Q4" i="19"/>
  <c r="O4" i="19"/>
  <c r="R4" i="19" s="1"/>
  <c r="Q3" i="19"/>
  <c r="O3" i="19"/>
  <c r="Q2" i="19"/>
  <c r="P2" i="19"/>
  <c r="O2" i="19"/>
  <c r="Q3" i="18"/>
  <c r="H2" i="10" s="1"/>
  <c r="O3" i="18"/>
  <c r="G2" i="10" s="1"/>
  <c r="O2" i="18"/>
  <c r="D2" i="10" s="1"/>
  <c r="Q4" i="18"/>
  <c r="J2" i="10" s="1"/>
  <c r="O4" i="18"/>
  <c r="I2" i="10" s="1"/>
  <c r="Q2" i="18"/>
  <c r="F2" i="10" s="1"/>
  <c r="P2" i="18"/>
  <c r="E2" i="10" s="1"/>
  <c r="R2" i="19" l="1"/>
  <c r="R3" i="19"/>
  <c r="G4" i="10"/>
  <c r="H4" i="10"/>
  <c r="I4" i="10"/>
  <c r="J4" i="10"/>
  <c r="E4" i="10"/>
  <c r="F4" i="10"/>
  <c r="D4" i="10"/>
  <c r="R4" i="18"/>
  <c r="R2" i="18"/>
  <c r="C2" i="10" s="1"/>
  <c r="R3" i="18"/>
  <c r="C4" i="10" l="1"/>
</calcChain>
</file>

<file path=xl/sharedStrings.xml><?xml version="1.0" encoding="utf-8"?>
<sst xmlns="http://schemas.openxmlformats.org/spreadsheetml/2006/main" count="149" uniqueCount="65">
  <si>
    <t>päivä</t>
  </si>
  <si>
    <t>viikonpäivä</t>
  </si>
  <si>
    <t>Tulos</t>
  </si>
  <si>
    <t>Eräpisteet</t>
  </si>
  <si>
    <t>pisteet</t>
  </si>
  <si>
    <t>Muut</t>
  </si>
  <si>
    <t>yhteensä</t>
  </si>
  <si>
    <t>La</t>
  </si>
  <si>
    <t>voitot</t>
  </si>
  <si>
    <t>eräpisteet</t>
  </si>
  <si>
    <t>tasapeli</t>
  </si>
  <si>
    <t>seura</t>
  </si>
  <si>
    <t>kausi</t>
  </si>
  <si>
    <t>kaikki ottelut</t>
  </si>
  <si>
    <t>ottelut voitto</t>
  </si>
  <si>
    <t>ottelut tasapeli</t>
  </si>
  <si>
    <t>ottelut tappio</t>
  </si>
  <si>
    <t>pisteet muut</t>
  </si>
  <si>
    <t>eräpisteet muut</t>
  </si>
  <si>
    <t>sijoitus</t>
  </si>
  <si>
    <t>eräpisteet I-V</t>
  </si>
  <si>
    <t>2025-2026</t>
  </si>
  <si>
    <t>Lempo</t>
  </si>
  <si>
    <t>Lempo A2</t>
  </si>
  <si>
    <t>Salpis</t>
  </si>
  <si>
    <t>PuMa A1</t>
  </si>
  <si>
    <t>PuMa A2</t>
  </si>
  <si>
    <t>2-1</t>
  </si>
  <si>
    <t>25-17,20-25,15-9</t>
  </si>
  <si>
    <t>0-2</t>
  </si>
  <si>
    <t>16-25,10-25</t>
  </si>
  <si>
    <t>1-2</t>
  </si>
  <si>
    <t>28-26,17-25,14-16</t>
  </si>
  <si>
    <t>pisteet Lempo</t>
  </si>
  <si>
    <t>VaLePa</t>
  </si>
  <si>
    <t>OsVa PU17</t>
  </si>
  <si>
    <t>Jou</t>
  </si>
  <si>
    <t>13-25,15-25</t>
  </si>
  <si>
    <t>21-25,17-25</t>
  </si>
  <si>
    <t>21-25,14-25</t>
  </si>
  <si>
    <t>BV</t>
  </si>
  <si>
    <t>PuMa3</t>
  </si>
  <si>
    <t>3-0</t>
  </si>
  <si>
    <t>25-13,25-11,25-19</t>
  </si>
  <si>
    <t>25-22,19-25,25-20</t>
  </si>
  <si>
    <t>25-16,26-28,15-5</t>
  </si>
  <si>
    <t>14-25,15-25</t>
  </si>
  <si>
    <t>KriVe</t>
  </si>
  <si>
    <t>26-28,23-25</t>
  </si>
  <si>
    <t>PuMa A3</t>
  </si>
  <si>
    <t>2-0</t>
  </si>
  <si>
    <t>27-25,25-23</t>
  </si>
  <si>
    <t>25-12,25-11</t>
  </si>
  <si>
    <t>25-19,25-23</t>
  </si>
  <si>
    <t>26-24,25-17,25-17</t>
  </si>
  <si>
    <t>25-16-25-15,25-14</t>
  </si>
  <si>
    <t>Äht U</t>
  </si>
  <si>
    <t>25-17,18-25,15-5</t>
  </si>
  <si>
    <t>16-25,17-25</t>
  </si>
  <si>
    <t>14-25,21-25</t>
  </si>
  <si>
    <t>A-Volley</t>
  </si>
  <si>
    <t>2026-2027</t>
  </si>
  <si>
    <t>31.10.2026</t>
  </si>
  <si>
    <t>Viesti/NarPa</t>
  </si>
  <si>
    <t>PuMa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</si>
</sst>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.&quot;m&quot;.&quot;yyyy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1" fillId="3" borderId="1" xfId="0" applyFont="1" applyFill="1" applyBorder="1"/>
    <xf numFmtId="0" fontId="2" fillId="3" borderId="1" xfId="0" applyFont="1" applyFill="1" applyBorder="1"/>
    <xf numFmtId="16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49" fontId="0" fillId="0" borderId="1" xfId="0" applyNumberFormat="1" applyBorder="1"/>
    <xf numFmtId="164" fontId="0" fillId="0" borderId="1" xfId="0" applyNumberFormat="1" applyBorder="1"/>
    <xf numFmtId="164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wrapText="1"/>
    </xf>
    <xf numFmtId="164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67001-218C-45B4-A8EB-DA7B4798BC50}">
  <dimension ref="A1:K4"/>
  <sheetViews>
    <sheetView workbookViewId="0">
      <selection activeCell="K9" sqref="K9"/>
    </sheetView>
  </sheetViews>
  <sheetFormatPr defaultRowHeight="14.4" x14ac:dyDescent="0.3"/>
  <cols>
    <col min="1" max="11" width="10.77734375" customWidth="1"/>
  </cols>
  <sheetData>
    <row r="1" spans="1:11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33</v>
      </c>
      <c r="H1" s="9" t="s">
        <v>17</v>
      </c>
      <c r="I1" s="9" t="s">
        <v>20</v>
      </c>
      <c r="J1" s="9" t="s">
        <v>18</v>
      </c>
      <c r="K1" s="9" t="s">
        <v>19</v>
      </c>
    </row>
    <row r="2" spans="1:11" x14ac:dyDescent="0.3">
      <c r="A2" s="10" t="s">
        <v>23</v>
      </c>
      <c r="B2" s="10" t="s">
        <v>21</v>
      </c>
      <c r="C2" s="10">
        <f>'A 2025-2026'!R2</f>
        <v>19</v>
      </c>
      <c r="D2" s="10">
        <f>'A 2025-2026'!O2</f>
        <v>10</v>
      </c>
      <c r="E2" s="10">
        <f>'A 2025-2026'!P2</f>
        <v>0</v>
      </c>
      <c r="F2" s="10">
        <f>'A 2025-2026'!Q2</f>
        <v>9</v>
      </c>
      <c r="G2" s="10">
        <f>'A 2025-2026'!O3</f>
        <v>23</v>
      </c>
      <c r="H2" s="10">
        <f>'A 2025-2026'!Q3</f>
        <v>19</v>
      </c>
      <c r="I2" s="10">
        <f>'A 2025-2026'!O4</f>
        <v>973</v>
      </c>
      <c r="J2" s="10">
        <f>'A 2025-2026'!Q4</f>
        <v>943</v>
      </c>
      <c r="K2" s="10">
        <v>18</v>
      </c>
    </row>
    <row r="3" spans="1:11" x14ac:dyDescent="0.3">
      <c r="A3" s="8" t="s">
        <v>60</v>
      </c>
      <c r="B3" s="8" t="s">
        <v>61</v>
      </c>
      <c r="C3" s="27">
        <f>'A 2026-2027'!R3</f>
        <v>0</v>
      </c>
      <c r="D3" s="27">
        <f>'A 2026-2027'!O3</f>
        <v>0</v>
      </c>
      <c r="E3" s="27">
        <f>'A 2026-2027'!P3</f>
        <v>0</v>
      </c>
      <c r="F3" s="27">
        <f>'A 2026-2027'!Q3</f>
        <v>0</v>
      </c>
      <c r="G3" s="27">
        <f>'A 2026-2027'!O4</f>
        <v>0</v>
      </c>
      <c r="H3" s="27">
        <f>'A 2026-2027'!Q4</f>
        <v>0</v>
      </c>
      <c r="I3" s="27">
        <f>'A 2026-2027'!O5</f>
        <v>0</v>
      </c>
      <c r="J3" s="27">
        <f>'A 2026-2027'!Q5</f>
        <v>0</v>
      </c>
      <c r="K3" s="8"/>
    </row>
    <row r="4" spans="1:11" x14ac:dyDescent="0.3">
      <c r="A4" s="10"/>
      <c r="B4" s="11" t="s">
        <v>6</v>
      </c>
      <c r="C4" s="11">
        <f>SUM(C2:C3)</f>
        <v>19</v>
      </c>
      <c r="D4" s="11">
        <f t="shared" ref="D4:J4" si="0">SUM(D2:D3)</f>
        <v>10</v>
      </c>
      <c r="E4" s="11">
        <f t="shared" si="0"/>
        <v>0</v>
      </c>
      <c r="F4" s="11">
        <f t="shared" si="0"/>
        <v>9</v>
      </c>
      <c r="G4" s="12">
        <f t="shared" si="0"/>
        <v>23</v>
      </c>
      <c r="H4" s="12">
        <f t="shared" si="0"/>
        <v>19</v>
      </c>
      <c r="I4" s="12">
        <f t="shared" si="0"/>
        <v>973</v>
      </c>
      <c r="J4" s="12">
        <f t="shared" si="0"/>
        <v>943</v>
      </c>
      <c r="K4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DBF1-FCB5-4B4B-B272-E39FAD5195F0}">
  <dimension ref="A1:S27"/>
  <sheetViews>
    <sheetView tabSelected="1" workbookViewId="0">
      <selection activeCell="C8" sqref="C8"/>
    </sheetView>
  </sheetViews>
  <sheetFormatPr defaultRowHeight="14.4" x14ac:dyDescent="0.3"/>
  <cols>
    <col min="1" max="3" width="10.77734375" customWidth="1"/>
    <col min="4" max="4" width="12.33203125" customWidth="1"/>
    <col min="5" max="5" width="10.77734375" customWidth="1"/>
    <col min="6" max="6" width="16.88671875" customWidth="1"/>
    <col min="7" max="18" width="10.77734375" customWidth="1"/>
  </cols>
  <sheetData>
    <row r="1" spans="1:19" x14ac:dyDescent="0.3">
      <c r="A1" s="9" t="s">
        <v>0</v>
      </c>
      <c r="B1" s="9" t="s">
        <v>1</v>
      </c>
      <c r="C1" s="9"/>
      <c r="D1" s="9"/>
      <c r="E1" s="9" t="s">
        <v>2</v>
      </c>
      <c r="F1" s="9" t="s">
        <v>3</v>
      </c>
      <c r="G1" s="9">
        <v>3</v>
      </c>
      <c r="H1" s="9">
        <v>2</v>
      </c>
      <c r="I1" s="9">
        <v>1</v>
      </c>
      <c r="J1" s="9">
        <v>0</v>
      </c>
      <c r="K1" s="9" t="s">
        <v>4</v>
      </c>
      <c r="L1" s="9" t="s">
        <v>4</v>
      </c>
      <c r="M1" s="9"/>
      <c r="N1" s="9"/>
      <c r="O1" s="9" t="s">
        <v>60</v>
      </c>
      <c r="P1" s="9" t="s">
        <v>10</v>
      </c>
      <c r="Q1" s="9" t="s">
        <v>5</v>
      </c>
      <c r="R1" s="9" t="s">
        <v>6</v>
      </c>
      <c r="S1" s="1"/>
    </row>
    <row r="2" spans="1:19" ht="28.8" x14ac:dyDescent="0.3">
      <c r="A2" s="19" t="s">
        <v>62</v>
      </c>
      <c r="B2" s="20" t="s">
        <v>7</v>
      </c>
      <c r="C2" s="20" t="s">
        <v>60</v>
      </c>
      <c r="D2" s="20" t="s">
        <v>63</v>
      </c>
      <c r="E2" s="21"/>
      <c r="F2" s="20"/>
      <c r="G2" s="20"/>
      <c r="H2" s="10"/>
      <c r="I2" s="10"/>
      <c r="J2" s="10"/>
      <c r="K2" s="10"/>
      <c r="L2" s="10"/>
      <c r="M2" s="10"/>
      <c r="N2" s="11" t="s">
        <v>8</v>
      </c>
      <c r="O2" s="10">
        <f>SUM(H2:H23)+SUM(G2:G23)</f>
        <v>0</v>
      </c>
      <c r="P2" s="10">
        <f>SUM(I2:I27)</f>
        <v>0</v>
      </c>
      <c r="Q2" s="10">
        <f>SUM(J2:J27)</f>
        <v>0</v>
      </c>
      <c r="R2" s="10">
        <f>SUM(O2:Q2)</f>
        <v>0</v>
      </c>
    </row>
    <row r="3" spans="1:19" x14ac:dyDescent="0.3">
      <c r="A3" s="23" t="s">
        <v>62</v>
      </c>
      <c r="B3" s="15" t="s">
        <v>7</v>
      </c>
      <c r="C3" s="14" t="s">
        <v>60</v>
      </c>
      <c r="D3" s="14" t="s">
        <v>64</v>
      </c>
      <c r="E3" s="15"/>
      <c r="F3" s="14"/>
      <c r="G3" s="8"/>
      <c r="H3" s="8"/>
      <c r="I3" s="8"/>
      <c r="J3" s="8"/>
      <c r="K3" s="8"/>
      <c r="L3" s="8"/>
      <c r="M3" s="8"/>
      <c r="N3" s="7" t="s">
        <v>4</v>
      </c>
      <c r="O3" s="8">
        <f>SUM(H2:H25)*2+SUM(I2:I277)+SUM(G2:G25)*3</f>
        <v>0</v>
      </c>
      <c r="P3" s="8"/>
      <c r="Q3" s="8">
        <f>SUM(J2:J25)*2+SUM(I2:I27)+H9</f>
        <v>0</v>
      </c>
      <c r="R3" s="8">
        <f>SUM(O3:Q3)</f>
        <v>0</v>
      </c>
    </row>
    <row r="4" spans="1:19" x14ac:dyDescent="0.3">
      <c r="A4" s="19" t="s">
        <v>62</v>
      </c>
      <c r="B4" s="20" t="s">
        <v>7</v>
      </c>
      <c r="C4" s="20" t="s">
        <v>60</v>
      </c>
      <c r="D4" s="20" t="s">
        <v>40</v>
      </c>
      <c r="E4" s="21"/>
      <c r="F4" s="20"/>
      <c r="G4" s="10"/>
      <c r="H4" s="10"/>
      <c r="I4" s="10"/>
      <c r="J4" s="10"/>
      <c r="K4" s="10"/>
      <c r="L4" s="10"/>
      <c r="M4" s="10"/>
      <c r="N4" s="11" t="s">
        <v>9</v>
      </c>
      <c r="O4" s="10">
        <f>SUM(K2:K28)</f>
        <v>0</v>
      </c>
      <c r="P4" s="10"/>
      <c r="Q4" s="10">
        <f>SUM(L2:L28)</f>
        <v>0</v>
      </c>
      <c r="R4" s="10">
        <f>SUM(O4:Q4)</f>
        <v>0</v>
      </c>
    </row>
    <row r="5" spans="1:19" x14ac:dyDescent="0.3">
      <c r="A5" s="13"/>
      <c r="B5" s="14"/>
      <c r="C5" s="14"/>
      <c r="D5" s="14"/>
      <c r="E5" s="14"/>
      <c r="F5" s="16"/>
      <c r="G5" s="16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9" x14ac:dyDescent="0.3">
      <c r="A6" s="19"/>
      <c r="B6" s="20"/>
      <c r="C6" s="20"/>
      <c r="D6" s="20"/>
      <c r="E6" s="21"/>
      <c r="F6" s="22"/>
      <c r="G6" s="22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9" x14ac:dyDescent="0.3">
      <c r="A7" s="13"/>
      <c r="B7" s="14"/>
      <c r="C7" s="14"/>
      <c r="D7" s="14"/>
      <c r="E7" s="14"/>
      <c r="F7" s="16"/>
      <c r="G7" s="16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9" x14ac:dyDescent="0.3">
      <c r="A8" s="19"/>
      <c r="B8" s="20"/>
      <c r="C8" s="20"/>
      <c r="D8" s="20"/>
      <c r="E8" s="21"/>
      <c r="F8" s="22"/>
      <c r="G8" s="22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9" x14ac:dyDescent="0.3">
      <c r="A9" s="13"/>
      <c r="B9" s="14"/>
      <c r="C9" s="14"/>
      <c r="D9" s="14"/>
      <c r="E9" s="15"/>
      <c r="F9" s="1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9" x14ac:dyDescent="0.3">
      <c r="A10" s="19"/>
      <c r="B10" s="20"/>
      <c r="C10" s="20"/>
      <c r="D10" s="20"/>
      <c r="E10" s="21"/>
      <c r="F10" s="22"/>
      <c r="G10" s="22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9" x14ac:dyDescent="0.3">
      <c r="A11" s="13"/>
      <c r="B11" s="14"/>
      <c r="C11" s="14"/>
      <c r="D11" s="14"/>
      <c r="E11" s="15"/>
      <c r="F11" s="16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9" x14ac:dyDescent="0.3">
      <c r="A12" s="19"/>
      <c r="B12" s="20"/>
      <c r="C12" s="20"/>
      <c r="D12" s="20"/>
      <c r="E12" s="21"/>
      <c r="F12" s="22"/>
      <c r="G12" s="22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9" x14ac:dyDescent="0.3">
      <c r="A13" s="13"/>
      <c r="B13" s="14"/>
      <c r="C13" s="14"/>
      <c r="D13" s="14"/>
      <c r="E13" s="17"/>
      <c r="F13" s="16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9" x14ac:dyDescent="0.3">
      <c r="A14" s="19"/>
      <c r="B14" s="20"/>
      <c r="C14" s="20"/>
      <c r="D14" s="20"/>
      <c r="E14" s="21"/>
      <c r="F14" s="22"/>
      <c r="G14" s="22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9" x14ac:dyDescent="0.3">
      <c r="A15" s="13"/>
      <c r="B15" s="14"/>
      <c r="C15" s="14"/>
      <c r="D15" s="14"/>
      <c r="E15" s="14"/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9" s="28" customFormat="1" x14ac:dyDescent="0.3">
      <c r="A16" s="19"/>
      <c r="B16" s="20"/>
      <c r="C16" s="20"/>
      <c r="D16" s="20"/>
      <c r="E16" s="20"/>
      <c r="F16" s="2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 s="28" customFormat="1" ht="13.8" customHeight="1" x14ac:dyDescent="0.3">
      <c r="A17" s="23"/>
      <c r="B17" s="24"/>
      <c r="C17" s="24"/>
      <c r="D17" s="24"/>
      <c r="E17" s="25"/>
      <c r="F17" s="26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s="28" customFormat="1" x14ac:dyDescent="0.3">
      <c r="A18" s="19"/>
      <c r="B18" s="20"/>
      <c r="C18" s="20"/>
      <c r="D18" s="20"/>
      <c r="E18" s="21"/>
      <c r="F18" s="2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 x14ac:dyDescent="0.3">
      <c r="A19" s="18"/>
      <c r="B19" s="14"/>
      <c r="C19" s="14"/>
      <c r="D19" s="14"/>
      <c r="E19" s="15"/>
      <c r="F19" s="16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3">
      <c r="A20" s="19"/>
      <c r="B20" s="20"/>
      <c r="C20" s="20"/>
      <c r="D20" s="20"/>
      <c r="E20" s="21"/>
      <c r="F20" s="22"/>
      <c r="G20" s="22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 x14ac:dyDescent="0.3">
      <c r="A21" s="18"/>
      <c r="B21" s="14"/>
      <c r="C21" s="14"/>
      <c r="D21" s="14"/>
      <c r="E21" s="17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">
      <c r="A22" s="19"/>
      <c r="B22" s="20"/>
      <c r="C22" s="20"/>
      <c r="D22" s="20"/>
      <c r="E22" s="21"/>
      <c r="F22" s="22"/>
      <c r="G22" s="2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8"/>
      <c r="B23" s="14"/>
      <c r="C23" s="14"/>
      <c r="D23" s="14"/>
      <c r="E23" s="14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">
      <c r="A24" s="4"/>
      <c r="B24" s="2"/>
      <c r="C24" s="2"/>
      <c r="D24" s="2"/>
      <c r="E24" s="2"/>
      <c r="F24" s="6"/>
    </row>
    <row r="25" spans="1:18" x14ac:dyDescent="0.3">
      <c r="A25" s="4"/>
      <c r="B25" s="2"/>
      <c r="C25" s="2"/>
      <c r="D25" s="2"/>
      <c r="E25" s="3"/>
      <c r="F25" s="6"/>
    </row>
    <row r="26" spans="1:18" x14ac:dyDescent="0.3">
      <c r="A26" s="4"/>
      <c r="B26" s="2"/>
      <c r="C26" s="2"/>
      <c r="D26" s="2"/>
      <c r="E26" s="5"/>
      <c r="F26" s="6"/>
    </row>
    <row r="27" spans="1:18" x14ac:dyDescent="0.3">
      <c r="A27" s="4"/>
      <c r="B27" s="2"/>
      <c r="C27" s="2"/>
      <c r="D27" s="2"/>
      <c r="E27" s="5"/>
      <c r="F27" s="6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38555-4C3B-4F48-AD20-7BBDECE7FD0C}">
  <dimension ref="A1:S27"/>
  <sheetViews>
    <sheetView workbookViewId="0">
      <selection activeCell="L21" sqref="L21"/>
    </sheetView>
  </sheetViews>
  <sheetFormatPr defaultRowHeight="14.4" x14ac:dyDescent="0.3"/>
  <cols>
    <col min="1" max="5" width="10.77734375" customWidth="1"/>
    <col min="6" max="6" width="16.88671875" customWidth="1"/>
    <col min="7" max="18" width="10.77734375" customWidth="1"/>
  </cols>
  <sheetData>
    <row r="1" spans="1:19" x14ac:dyDescent="0.3">
      <c r="A1" s="9" t="s">
        <v>0</v>
      </c>
      <c r="B1" s="9" t="s">
        <v>1</v>
      </c>
      <c r="C1" s="9"/>
      <c r="D1" s="9"/>
      <c r="E1" s="9" t="s">
        <v>2</v>
      </c>
      <c r="F1" s="9" t="s">
        <v>3</v>
      </c>
      <c r="G1" s="9">
        <v>3</v>
      </c>
      <c r="H1" s="9">
        <v>2</v>
      </c>
      <c r="I1" s="9">
        <v>1</v>
      </c>
      <c r="J1" s="9">
        <v>0</v>
      </c>
      <c r="K1" s="9" t="s">
        <v>4</v>
      </c>
      <c r="L1" s="9" t="s">
        <v>4</v>
      </c>
      <c r="M1" s="9"/>
      <c r="N1" s="9"/>
      <c r="O1" s="9" t="s">
        <v>22</v>
      </c>
      <c r="P1" s="9" t="s">
        <v>10</v>
      </c>
      <c r="Q1" s="9" t="s">
        <v>5</v>
      </c>
      <c r="R1" s="9" t="s">
        <v>6</v>
      </c>
      <c r="S1" s="1"/>
    </row>
    <row r="2" spans="1:19" ht="28.8" x14ac:dyDescent="0.3">
      <c r="A2" s="19">
        <v>45962</v>
      </c>
      <c r="B2" s="20" t="s">
        <v>7</v>
      </c>
      <c r="C2" s="20" t="s">
        <v>23</v>
      </c>
      <c r="D2" s="20" t="s">
        <v>24</v>
      </c>
      <c r="E2" s="21" t="s">
        <v>27</v>
      </c>
      <c r="F2" s="20" t="s">
        <v>28</v>
      </c>
      <c r="G2" s="20"/>
      <c r="H2" s="10">
        <v>1</v>
      </c>
      <c r="I2" s="10"/>
      <c r="J2" s="10"/>
      <c r="K2" s="10">
        <v>70</v>
      </c>
      <c r="L2" s="10">
        <v>51</v>
      </c>
      <c r="M2" s="10"/>
      <c r="N2" s="11" t="s">
        <v>8</v>
      </c>
      <c r="O2" s="10">
        <f>SUM(H2:H23)+SUM(G2:G23)</f>
        <v>10</v>
      </c>
      <c r="P2" s="10">
        <f>SUM(I2:I27)</f>
        <v>0</v>
      </c>
      <c r="Q2" s="10">
        <f>SUM(J2:J27)</f>
        <v>9</v>
      </c>
      <c r="R2" s="10">
        <f>SUM(O2:Q2)</f>
        <v>19</v>
      </c>
    </row>
    <row r="3" spans="1:19" x14ac:dyDescent="0.3">
      <c r="A3" s="23">
        <v>45962</v>
      </c>
      <c r="B3" s="15" t="s">
        <v>7</v>
      </c>
      <c r="C3" s="14" t="s">
        <v>23</v>
      </c>
      <c r="D3" s="14" t="s">
        <v>25</v>
      </c>
      <c r="E3" s="15" t="s">
        <v>29</v>
      </c>
      <c r="F3" s="14" t="s">
        <v>30</v>
      </c>
      <c r="G3" s="8"/>
      <c r="H3" s="8"/>
      <c r="I3" s="8"/>
      <c r="J3" s="8">
        <v>1</v>
      </c>
      <c r="K3" s="8">
        <v>26</v>
      </c>
      <c r="L3" s="8">
        <v>50</v>
      </c>
      <c r="M3" s="8"/>
      <c r="N3" s="7" t="s">
        <v>4</v>
      </c>
      <c r="O3" s="8">
        <f>SUM(H2:H25)*2+SUM(I2:I277)+SUM(G2:G25)*3</f>
        <v>23</v>
      </c>
      <c r="P3" s="8"/>
      <c r="Q3" s="8">
        <f>SUM(J2:J25)*2+SUM(I2:I27)+H9</f>
        <v>19</v>
      </c>
      <c r="R3" s="8">
        <f>SUM(O3:Q3)</f>
        <v>42</v>
      </c>
    </row>
    <row r="4" spans="1:19" x14ac:dyDescent="0.3">
      <c r="A4" s="19">
        <v>45962</v>
      </c>
      <c r="B4" s="20" t="s">
        <v>7</v>
      </c>
      <c r="C4" s="20" t="s">
        <v>23</v>
      </c>
      <c r="D4" s="20" t="s">
        <v>26</v>
      </c>
      <c r="E4" s="21" t="s">
        <v>31</v>
      </c>
      <c r="F4" s="20" t="s">
        <v>32</v>
      </c>
      <c r="G4" s="10"/>
      <c r="H4" s="10"/>
      <c r="I4" s="10"/>
      <c r="J4" s="10">
        <v>1</v>
      </c>
      <c r="K4" s="10">
        <v>59</v>
      </c>
      <c r="L4" s="10">
        <v>67</v>
      </c>
      <c r="M4" s="10"/>
      <c r="N4" s="11" t="s">
        <v>9</v>
      </c>
      <c r="O4" s="10">
        <f>SUM(K2:K28)</f>
        <v>973</v>
      </c>
      <c r="P4" s="10"/>
      <c r="Q4" s="10">
        <f>SUM(L2:L28)</f>
        <v>943</v>
      </c>
      <c r="R4" s="10">
        <f>SUM(O4:Q4)</f>
        <v>1916</v>
      </c>
    </row>
    <row r="5" spans="1:19" x14ac:dyDescent="0.3">
      <c r="A5" s="13">
        <v>45981</v>
      </c>
      <c r="B5" s="14" t="s">
        <v>7</v>
      </c>
      <c r="C5" s="14" t="s">
        <v>23</v>
      </c>
      <c r="D5" s="14" t="s">
        <v>36</v>
      </c>
      <c r="E5" s="14" t="s">
        <v>29</v>
      </c>
      <c r="F5" s="16" t="s">
        <v>37</v>
      </c>
      <c r="G5" s="16"/>
      <c r="H5" s="8"/>
      <c r="I5" s="8"/>
      <c r="J5" s="8">
        <v>1</v>
      </c>
      <c r="K5" s="8">
        <v>28</v>
      </c>
      <c r="L5" s="8">
        <v>50</v>
      </c>
      <c r="M5" s="8"/>
      <c r="N5" s="8"/>
      <c r="O5" s="8"/>
      <c r="P5" s="8"/>
      <c r="Q5" s="8"/>
      <c r="R5" s="8"/>
    </row>
    <row r="6" spans="1:19" x14ac:dyDescent="0.3">
      <c r="A6" s="19">
        <v>45981</v>
      </c>
      <c r="B6" s="20" t="s">
        <v>7</v>
      </c>
      <c r="C6" s="20" t="s">
        <v>23</v>
      </c>
      <c r="D6" s="20" t="s">
        <v>34</v>
      </c>
      <c r="E6" s="21" t="s">
        <v>29</v>
      </c>
      <c r="F6" s="22" t="s">
        <v>38</v>
      </c>
      <c r="G6" s="22"/>
      <c r="H6" s="10"/>
      <c r="I6" s="10"/>
      <c r="J6" s="10">
        <v>1</v>
      </c>
      <c r="K6" s="10">
        <v>38</v>
      </c>
      <c r="L6" s="10">
        <v>50</v>
      </c>
      <c r="M6" s="10"/>
      <c r="N6" s="10"/>
      <c r="O6" s="10"/>
      <c r="P6" s="10"/>
      <c r="Q6" s="10"/>
      <c r="R6" s="10"/>
    </row>
    <row r="7" spans="1:19" x14ac:dyDescent="0.3">
      <c r="A7" s="13">
        <v>45981</v>
      </c>
      <c r="B7" s="14" t="s">
        <v>7</v>
      </c>
      <c r="C7" s="14" t="s">
        <v>23</v>
      </c>
      <c r="D7" s="14" t="s">
        <v>35</v>
      </c>
      <c r="E7" s="14" t="s">
        <v>29</v>
      </c>
      <c r="F7" s="16" t="s">
        <v>39</v>
      </c>
      <c r="G7" s="16"/>
      <c r="H7" s="8"/>
      <c r="I7" s="8"/>
      <c r="J7" s="8">
        <v>1</v>
      </c>
      <c r="K7" s="8">
        <v>35</v>
      </c>
      <c r="L7" s="8">
        <v>50</v>
      </c>
      <c r="M7" s="8"/>
      <c r="N7" s="8"/>
      <c r="O7" s="8"/>
      <c r="P7" s="8"/>
      <c r="Q7" s="8"/>
      <c r="R7" s="8"/>
    </row>
    <row r="8" spans="1:19" ht="28.8" x14ac:dyDescent="0.3">
      <c r="A8" s="19">
        <v>46004</v>
      </c>
      <c r="B8" s="20" t="s">
        <v>7</v>
      </c>
      <c r="C8" s="20" t="s">
        <v>23</v>
      </c>
      <c r="D8" s="20" t="s">
        <v>40</v>
      </c>
      <c r="E8" s="21" t="s">
        <v>42</v>
      </c>
      <c r="F8" s="22" t="s">
        <v>43</v>
      </c>
      <c r="G8" s="22">
        <v>1</v>
      </c>
      <c r="H8" s="10"/>
      <c r="I8" s="10"/>
      <c r="J8" s="10"/>
      <c r="K8" s="10">
        <v>75</v>
      </c>
      <c r="L8" s="10">
        <v>43</v>
      </c>
      <c r="M8" s="10"/>
      <c r="N8" s="10"/>
      <c r="O8" s="10"/>
      <c r="P8" s="10"/>
      <c r="Q8" s="10"/>
      <c r="R8" s="10"/>
    </row>
    <row r="9" spans="1:19" ht="28.8" x14ac:dyDescent="0.3">
      <c r="A9" s="13">
        <v>46004</v>
      </c>
      <c r="B9" s="14" t="s">
        <v>7</v>
      </c>
      <c r="C9" s="14" t="s">
        <v>23</v>
      </c>
      <c r="D9" s="14" t="s">
        <v>41</v>
      </c>
      <c r="E9" s="15" t="s">
        <v>27</v>
      </c>
      <c r="F9" s="16" t="s">
        <v>44</v>
      </c>
      <c r="G9" s="8"/>
      <c r="H9" s="8">
        <v>1</v>
      </c>
      <c r="I9" s="8"/>
      <c r="J9" s="8"/>
      <c r="K9" s="8">
        <v>69</v>
      </c>
      <c r="L9" s="8">
        <v>67</v>
      </c>
      <c r="M9" s="8"/>
      <c r="N9" s="8"/>
      <c r="O9" s="8"/>
      <c r="P9" s="8"/>
      <c r="Q9" s="8"/>
      <c r="R9" s="8"/>
    </row>
    <row r="10" spans="1:19" ht="28.8" x14ac:dyDescent="0.3">
      <c r="A10" s="19">
        <v>46046</v>
      </c>
      <c r="B10" s="20" t="s">
        <v>7</v>
      </c>
      <c r="C10" s="20" t="s">
        <v>23</v>
      </c>
      <c r="D10" s="20" t="s">
        <v>35</v>
      </c>
      <c r="E10" s="21" t="s">
        <v>27</v>
      </c>
      <c r="F10" s="22" t="s">
        <v>45</v>
      </c>
      <c r="G10" s="22"/>
      <c r="H10" s="10">
        <v>1</v>
      </c>
      <c r="I10" s="10"/>
      <c r="J10" s="10"/>
      <c r="K10" s="10">
        <v>66</v>
      </c>
      <c r="L10" s="10">
        <v>49</v>
      </c>
      <c r="M10" s="10"/>
      <c r="N10" s="10"/>
      <c r="O10" s="10"/>
      <c r="P10" s="10"/>
      <c r="Q10" s="10"/>
      <c r="R10" s="10"/>
    </row>
    <row r="11" spans="1:19" x14ac:dyDescent="0.3">
      <c r="A11" s="13">
        <v>46046</v>
      </c>
      <c r="B11" s="14" t="s">
        <v>7</v>
      </c>
      <c r="C11" s="14" t="s">
        <v>23</v>
      </c>
      <c r="D11" s="14" t="s">
        <v>34</v>
      </c>
      <c r="E11" s="15" t="s">
        <v>29</v>
      </c>
      <c r="F11" s="16" t="s">
        <v>46</v>
      </c>
      <c r="G11" s="8"/>
      <c r="H11" s="8"/>
      <c r="I11" s="8"/>
      <c r="J11" s="8">
        <v>1</v>
      </c>
      <c r="K11" s="8">
        <v>29</v>
      </c>
      <c r="L11" s="8">
        <v>50</v>
      </c>
      <c r="M11" s="8"/>
      <c r="N11" s="8"/>
      <c r="O11" s="8"/>
      <c r="P11" s="8"/>
      <c r="Q11" s="8"/>
      <c r="R11" s="8"/>
    </row>
    <row r="12" spans="1:19" x14ac:dyDescent="0.3">
      <c r="A12" s="19">
        <v>46046</v>
      </c>
      <c r="B12" s="20" t="s">
        <v>7</v>
      </c>
      <c r="C12" s="20" t="s">
        <v>23</v>
      </c>
      <c r="D12" s="20" t="s">
        <v>47</v>
      </c>
      <c r="E12" s="21" t="s">
        <v>29</v>
      </c>
      <c r="F12" s="22" t="s">
        <v>48</v>
      </c>
      <c r="G12" s="22"/>
      <c r="H12" s="10"/>
      <c r="I12" s="10"/>
      <c r="J12" s="10">
        <v>1</v>
      </c>
      <c r="K12" s="10">
        <v>49</v>
      </c>
      <c r="L12" s="10">
        <v>53</v>
      </c>
      <c r="M12" s="10"/>
      <c r="N12" s="10"/>
      <c r="O12" s="10"/>
      <c r="P12" s="10"/>
      <c r="Q12" s="10"/>
      <c r="R12" s="10"/>
    </row>
    <row r="13" spans="1:19" x14ac:dyDescent="0.3">
      <c r="A13" s="13">
        <v>46130</v>
      </c>
      <c r="B13" s="14" t="s">
        <v>7</v>
      </c>
      <c r="C13" s="14" t="s">
        <v>23</v>
      </c>
      <c r="D13" s="14" t="s">
        <v>24</v>
      </c>
      <c r="E13" s="17" t="s">
        <v>50</v>
      </c>
      <c r="F13" s="16" t="s">
        <v>51</v>
      </c>
      <c r="G13" s="8"/>
      <c r="H13" s="8">
        <v>1</v>
      </c>
      <c r="I13" s="8"/>
      <c r="J13" s="8"/>
      <c r="K13" s="8">
        <v>52</v>
      </c>
      <c r="L13" s="8">
        <v>48</v>
      </c>
      <c r="M13" s="8"/>
      <c r="N13" s="8"/>
      <c r="O13" s="8"/>
      <c r="P13" s="8"/>
      <c r="Q13" s="8"/>
      <c r="R13" s="8"/>
    </row>
    <row r="14" spans="1:19" x14ac:dyDescent="0.3">
      <c r="A14" s="19">
        <v>46130</v>
      </c>
      <c r="B14" s="20" t="s">
        <v>7</v>
      </c>
      <c r="C14" s="20" t="s">
        <v>23</v>
      </c>
      <c r="D14" s="20" t="s">
        <v>40</v>
      </c>
      <c r="E14" s="21" t="s">
        <v>50</v>
      </c>
      <c r="F14" s="22" t="s">
        <v>52</v>
      </c>
      <c r="G14" s="22"/>
      <c r="H14" s="10">
        <v>1</v>
      </c>
      <c r="I14" s="10"/>
      <c r="J14" s="10"/>
      <c r="K14" s="10">
        <v>50</v>
      </c>
      <c r="L14" s="10">
        <v>23</v>
      </c>
      <c r="M14" s="10"/>
      <c r="N14" s="10"/>
      <c r="O14" s="10"/>
      <c r="P14" s="10"/>
      <c r="Q14" s="10"/>
      <c r="R14" s="10"/>
    </row>
    <row r="15" spans="1:19" x14ac:dyDescent="0.3">
      <c r="A15" s="13">
        <v>46130</v>
      </c>
      <c r="B15" s="14" t="s">
        <v>7</v>
      </c>
      <c r="C15" s="14" t="s">
        <v>23</v>
      </c>
      <c r="D15" s="14" t="s">
        <v>49</v>
      </c>
      <c r="E15" s="14" t="s">
        <v>50</v>
      </c>
      <c r="F15" s="16" t="s">
        <v>53</v>
      </c>
      <c r="G15" s="8"/>
      <c r="H15" s="8">
        <v>1</v>
      </c>
      <c r="I15" s="8"/>
      <c r="J15" s="8"/>
      <c r="K15" s="8">
        <v>50</v>
      </c>
      <c r="L15" s="8">
        <v>42</v>
      </c>
      <c r="M15" s="8"/>
      <c r="N15" s="8"/>
      <c r="O15" s="8"/>
      <c r="P15" s="8"/>
      <c r="Q15" s="8"/>
      <c r="R15" s="8"/>
    </row>
    <row r="16" spans="1:19" s="28" customFormat="1" ht="28.8" x14ac:dyDescent="0.3">
      <c r="A16" s="19">
        <v>46144</v>
      </c>
      <c r="B16" s="20" t="s">
        <v>7</v>
      </c>
      <c r="C16" s="20" t="s">
        <v>23</v>
      </c>
      <c r="D16" s="20" t="s">
        <v>40</v>
      </c>
      <c r="E16" s="20" t="s">
        <v>42</v>
      </c>
      <c r="F16" s="22" t="s">
        <v>54</v>
      </c>
      <c r="G16" s="10">
        <v>1</v>
      </c>
      <c r="H16" s="10"/>
      <c r="I16" s="10"/>
      <c r="J16" s="10"/>
      <c r="K16" s="10">
        <v>76</v>
      </c>
      <c r="L16" s="10">
        <v>58</v>
      </c>
      <c r="M16" s="10"/>
      <c r="N16" s="10"/>
      <c r="O16" s="10"/>
      <c r="P16" s="10"/>
      <c r="Q16" s="10"/>
      <c r="R16" s="10"/>
    </row>
    <row r="17" spans="1:18" s="28" customFormat="1" ht="13.8" customHeight="1" x14ac:dyDescent="0.3">
      <c r="A17" s="23">
        <v>46144</v>
      </c>
      <c r="B17" s="24" t="s">
        <v>7</v>
      </c>
      <c r="C17" s="24" t="s">
        <v>23</v>
      </c>
      <c r="D17" s="24" t="s">
        <v>49</v>
      </c>
      <c r="E17" s="25" t="s">
        <v>42</v>
      </c>
      <c r="F17" s="26" t="s">
        <v>55</v>
      </c>
      <c r="G17" s="26">
        <v>1</v>
      </c>
      <c r="H17" s="27"/>
      <c r="I17" s="27"/>
      <c r="J17" s="27"/>
      <c r="K17" s="27">
        <v>75</v>
      </c>
      <c r="L17" s="27">
        <v>45</v>
      </c>
      <c r="M17" s="27"/>
      <c r="N17" s="27"/>
      <c r="O17" s="27"/>
      <c r="P17" s="27"/>
      <c r="Q17" s="27"/>
      <c r="R17" s="27"/>
    </row>
    <row r="18" spans="1:18" s="28" customFormat="1" x14ac:dyDescent="0.3">
      <c r="A18" s="19">
        <v>46157</v>
      </c>
      <c r="B18" s="20" t="s">
        <v>7</v>
      </c>
      <c r="C18" s="20" t="s">
        <v>23</v>
      </c>
      <c r="D18" s="20" t="s">
        <v>56</v>
      </c>
      <c r="E18" s="21" t="s">
        <v>27</v>
      </c>
      <c r="F18" s="22" t="s">
        <v>57</v>
      </c>
      <c r="G18" s="10"/>
      <c r="H18" s="10">
        <v>1</v>
      </c>
      <c r="I18" s="10"/>
      <c r="J18" s="10"/>
      <c r="K18" s="10">
        <v>58</v>
      </c>
      <c r="L18" s="10">
        <v>47</v>
      </c>
      <c r="M18" s="10"/>
      <c r="N18" s="10"/>
      <c r="O18" s="10"/>
      <c r="P18" s="10"/>
      <c r="Q18" s="10"/>
      <c r="R18" s="10"/>
    </row>
    <row r="19" spans="1:18" x14ac:dyDescent="0.3">
      <c r="A19" s="18">
        <v>46157</v>
      </c>
      <c r="B19" s="14" t="s">
        <v>7</v>
      </c>
      <c r="C19" s="14" t="s">
        <v>23</v>
      </c>
      <c r="D19" s="14" t="s">
        <v>47</v>
      </c>
      <c r="E19" s="15" t="s">
        <v>29</v>
      </c>
      <c r="F19" s="16" t="s">
        <v>58</v>
      </c>
      <c r="G19" s="8"/>
      <c r="H19" s="8"/>
      <c r="I19" s="8"/>
      <c r="J19" s="8">
        <v>1</v>
      </c>
      <c r="K19" s="8">
        <v>33</v>
      </c>
      <c r="L19" s="8">
        <v>50</v>
      </c>
      <c r="M19" s="8"/>
      <c r="N19" s="8"/>
      <c r="O19" s="8"/>
      <c r="P19" s="8"/>
      <c r="Q19" s="8"/>
      <c r="R19" s="8"/>
    </row>
    <row r="20" spans="1:18" x14ac:dyDescent="0.3">
      <c r="A20" s="19">
        <v>46157</v>
      </c>
      <c r="B20" s="20" t="s">
        <v>7</v>
      </c>
      <c r="C20" s="20" t="s">
        <v>23</v>
      </c>
      <c r="D20" s="20" t="s">
        <v>35</v>
      </c>
      <c r="E20" s="21" t="s">
        <v>29</v>
      </c>
      <c r="F20" s="22" t="s">
        <v>59</v>
      </c>
      <c r="G20" s="22"/>
      <c r="H20" s="10"/>
      <c r="I20" s="10"/>
      <c r="J20" s="10">
        <v>1</v>
      </c>
      <c r="K20" s="10">
        <v>35</v>
      </c>
      <c r="L20" s="10">
        <v>50</v>
      </c>
      <c r="M20" s="10"/>
      <c r="N20" s="10"/>
      <c r="O20" s="10"/>
      <c r="P20" s="10"/>
      <c r="Q20" s="10"/>
      <c r="R20" s="10"/>
    </row>
    <row r="21" spans="1:18" x14ac:dyDescent="0.3">
      <c r="A21" s="18"/>
      <c r="B21" s="14"/>
      <c r="C21" s="14"/>
      <c r="D21" s="14"/>
      <c r="E21" s="17"/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3">
      <c r="A22" s="19"/>
      <c r="B22" s="20"/>
      <c r="C22" s="20"/>
      <c r="D22" s="20"/>
      <c r="E22" s="21"/>
      <c r="F22" s="22"/>
      <c r="G22" s="22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 x14ac:dyDescent="0.3">
      <c r="A23" s="18"/>
      <c r="B23" s="14"/>
      <c r="C23" s="14"/>
      <c r="D23" s="14"/>
      <c r="E23" s="14"/>
      <c r="F23" s="16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3">
      <c r="A24" s="4"/>
      <c r="B24" s="2"/>
      <c r="C24" s="2"/>
      <c r="D24" s="2"/>
      <c r="E24" s="2"/>
      <c r="F24" s="6"/>
    </row>
    <row r="25" spans="1:18" x14ac:dyDescent="0.3">
      <c r="A25" s="4"/>
      <c r="B25" s="2"/>
      <c r="C25" s="2"/>
      <c r="D25" s="2"/>
      <c r="E25" s="3"/>
      <c r="F25" s="6"/>
    </row>
    <row r="26" spans="1:18" x14ac:dyDescent="0.3">
      <c r="A26" s="4"/>
      <c r="B26" s="2"/>
      <c r="C26" s="2"/>
      <c r="D26" s="2"/>
      <c r="E26" s="5"/>
      <c r="F26" s="6"/>
    </row>
    <row r="27" spans="1:18" x14ac:dyDescent="0.3">
      <c r="A27" s="4"/>
      <c r="B27" s="2"/>
      <c r="C27" s="2"/>
      <c r="D27" s="2"/>
      <c r="E27" s="5"/>
      <c r="F27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2025-2027</vt:lpstr>
      <vt:lpstr>A 2026-2027</vt:lpstr>
      <vt:lpstr>A 2025-2026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Katoperä</dc:creator>
  <cp:lastModifiedBy>Janne Katoperä</cp:lastModifiedBy>
  <dcterms:created xsi:type="dcterms:W3CDTF">2024-06-25T08:40:00Z</dcterms:created>
  <dcterms:modified xsi:type="dcterms:W3CDTF">2026-09-19T17:11:27Z</dcterms:modified>
</cp:coreProperties>
</file>
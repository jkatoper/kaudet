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3C02071-A2CD-46CB-8683-2DD94477746F}" xr6:coauthVersionLast="47" xr6:coauthVersionMax="47" xr10:uidLastSave="{00000000-0000-0000-0000-000000000000}"/>
  <bookViews>
    <workbookView xWindow="1620" yWindow="636" windowWidth="20952" windowHeight="12816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O2" i="18"/>
  <c r="D2" i="10" s="1"/>
  <c r="Q4" i="18"/>
  <c r="J2" i="10" s="1"/>
  <c r="O4" i="18"/>
  <c r="I2" i="10" s="1"/>
  <c r="Q2" i="18"/>
  <c r="F2" i="10" s="1"/>
  <c r="P2" i="18"/>
  <c r="E2" i="10" s="1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<sst xmlns="http://schemas.openxmlformats.org/spreadsheetml/2006/main" count="107" uniqueCount="56">
  <si>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</si>
  <si>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</si>
  <si>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</si>
  <si>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</si>
  <si>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</si>
  <si>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</si>
  <si>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</si>
  <si>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</si>
  <si>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</si>
  <si>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</si>
  <si>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</si>
  <si>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</si>
  <si>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</si>
  <si>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</si>
  <si>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</si>
  <si>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</si>
  <si>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</si>
  <si>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</si>
  <si>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</si>
  <si>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</si>
  <si>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</si>
  <si>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</si>
  <si>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</si>
  <si>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</si>
  <si>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</si>
  <si>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</si>
  <si>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</si>
  <si>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</si>
  <si>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</si>
  <si>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</si>
  <si>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</si>
  <si>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</si>
  <si>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</si>
  <si>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</si>
  <si>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</si>
  <si>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</si>
  <si>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</si>
  <si>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</si>
  <si>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</si>
  <si>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</si>
  <si>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</si>
  <si>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</si>
  <si>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</si>
  <si>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</si>
  <si>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</si>
  <si>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</si>
  <si>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</si>
  <si>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</si>
  <si>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</si>
  <si>
    <t>PuMa A3</t>
  </si>
  <si>
    <t>2-0</t>
  </si>
  <si>
    <t>27-25,25-23</t>
  </si>
  <si>
    <t>25-12,25-11</t>
  </si>
  <si>
    <t>25-19,25-23</t>
  </si>
  <si>
    <t>26-24,25-17,25-17</t>
  </si>
  <si>
    <t>25-16-25-15,25-14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</si>
</sst>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16</v>
      </c>
      <c r="D2" s="10">
        <f>'A 2025-2026'!O2</f>
        <v>9</v>
      </c>
      <c r="E2" s="10">
        <f>'A 2025-2026'!P2</f>
        <v>0</v>
      </c>
      <c r="F2" s="10">
        <f>'A 2025-2026'!Q2</f>
        <v>7</v>
      </c>
      <c r="G2" s="10">
        <f>'A 2025-2026'!O3</f>
        <v>21</v>
      </c>
      <c r="H2" s="10">
        <f>'A 2025-2026'!Q3</f>
        <v>15</v>
      </c>
      <c r="I2" s="10">
        <f>'A 2025-2026'!O4</f>
        <v>847</v>
      </c>
      <c r="J2" s="10">
        <f>'A 2025-2026'!Q4</f>
        <v>796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16</v>
      </c>
      <c r="D4" s="11">
        <f t="shared" si="0"/>
        <v>9</v>
      </c>
      <c r="E4" s="11">
        <f t="shared" si="0"/>
        <v>0</v>
      </c>
      <c r="F4" s="11">
        <f t="shared" si="0"/>
        <v>7</v>
      </c>
      <c r="G4" s="12">
        <f t="shared" si="0"/>
        <v>21</v>
      </c>
      <c r="H4" s="12">
        <f t="shared" si="0"/>
        <v>15</v>
      </c>
      <c r="I4" s="12">
        <f t="shared" si="0"/>
        <v>847</v>
      </c>
      <c r="J4" s="12">
        <f t="shared" si="0"/>
        <v>796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7"/>
  <sheetViews>
    <sheetView tabSelected="1" topLeftCell="A5" workbookViewId="0">
      <selection activeCell="F8" sqref="F7:G8"/>
    </sheetView>
  </sheetViews>
  <sheetFormatPr defaultRowHeight="14.4" x14ac:dyDescent="0.3"/>
  <cols>
    <col min="1" max="5" width="10.77734375" customWidth="1"/>
    <col min="6" max="6" width="16.88671875" customWidth="1"/>
    <col min="7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SUM(H2:H23)+SUM(G2:G23)</f>
        <v>9</v>
      </c>
      <c r="P2" s="10">
        <f>SUM(I2:I27)</f>
        <v>0</v>
      </c>
      <c r="Q2" s="10">
        <f>SUM(J2:J27)</f>
        <v>7</v>
      </c>
      <c r="R2" s="10">
        <f>SUM(O2:Q2)</f>
        <v>16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SUM(H2:H25)*2+SUM(I2:I277)+SUM(G2:G25)*3</f>
        <v>21</v>
      </c>
      <c r="P3" s="8"/>
      <c r="Q3" s="8">
        <f>SUM(J2:J25)*2+SUM(I2:I27)+H9</f>
        <v>15</v>
      </c>
      <c r="R3" s="8">
        <f>SUM(O3:Q3)</f>
        <v>36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SUM(K2:K28)</f>
        <v>847</v>
      </c>
      <c r="P4" s="10"/>
      <c r="Q4" s="10">
        <f>SUM(L2:L28)</f>
        <v>796</v>
      </c>
      <c r="R4" s="10">
        <f>SUM(O4:Q4)</f>
        <v>1643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>
        <v>46130</v>
      </c>
      <c r="B13" s="14" t="s">
        <v>7</v>
      </c>
      <c r="C13" s="14" t="s">
        <v>23</v>
      </c>
      <c r="D13" s="14" t="s">
        <v>24</v>
      </c>
      <c r="E13" s="17" t="s">
        <v>50</v>
      </c>
      <c r="F13" s="16" t="s">
        <v>51</v>
      </c>
      <c r="G13" s="8"/>
      <c r="H13" s="8">
        <v>1</v>
      </c>
      <c r="I13" s="8"/>
      <c r="J13" s="8"/>
      <c r="K13" s="8">
        <v>52</v>
      </c>
      <c r="L13" s="8">
        <v>48</v>
      </c>
      <c r="M13" s="8"/>
      <c r="N13" s="8"/>
      <c r="O13" s="8"/>
      <c r="P13" s="8"/>
      <c r="Q13" s="8"/>
      <c r="R13" s="8"/>
    </row>
    <row r="14" spans="1:19" x14ac:dyDescent="0.3">
      <c r="A14" s="19">
        <v>46130</v>
      </c>
      <c r="B14" s="20" t="s">
        <v>7</v>
      </c>
      <c r="C14" s="20" t="s">
        <v>23</v>
      </c>
      <c r="D14" s="20" t="s">
        <v>40</v>
      </c>
      <c r="E14" s="21" t="s">
        <v>50</v>
      </c>
      <c r="F14" s="22" t="s">
        <v>52</v>
      </c>
      <c r="G14" s="22"/>
      <c r="H14" s="10">
        <v>1</v>
      </c>
      <c r="I14" s="10"/>
      <c r="J14" s="10"/>
      <c r="K14" s="10">
        <v>50</v>
      </c>
      <c r="L14" s="10">
        <v>23</v>
      </c>
      <c r="M14" s="10"/>
      <c r="N14" s="10"/>
      <c r="O14" s="10"/>
      <c r="P14" s="10"/>
      <c r="Q14" s="10"/>
      <c r="R14" s="10"/>
    </row>
    <row r="15" spans="1:19" x14ac:dyDescent="0.3">
      <c r="A15" s="13">
        <v>46130</v>
      </c>
      <c r="B15" s="14" t="s">
        <v>7</v>
      </c>
      <c r="C15" s="14" t="s">
        <v>23</v>
      </c>
      <c r="D15" s="14" t="s">
        <v>49</v>
      </c>
      <c r="E15" s="14" t="s">
        <v>50</v>
      </c>
      <c r="F15" s="16" t="s">
        <v>53</v>
      </c>
      <c r="G15" s="8"/>
      <c r="H15" s="8">
        <v>1</v>
      </c>
      <c r="I15" s="8"/>
      <c r="J15" s="8"/>
      <c r="K15" s="8">
        <v>50</v>
      </c>
      <c r="L15" s="8">
        <v>42</v>
      </c>
      <c r="M15" s="8"/>
      <c r="N15" s="8"/>
      <c r="O15" s="8"/>
      <c r="P15" s="8"/>
      <c r="Q15" s="8"/>
      <c r="R15" s="8"/>
    </row>
    <row r="16" spans="1:19" s="28" customFormat="1" ht="28.8" x14ac:dyDescent="0.3">
      <c r="A16" s="19">
        <v>46144</v>
      </c>
      <c r="B16" s="20" t="s">
        <v>7</v>
      </c>
      <c r="C16" s="20" t="s">
        <v>23</v>
      </c>
      <c r="D16" s="20" t="s">
        <v>40</v>
      </c>
      <c r="E16" s="20" t="s">
        <v>42</v>
      </c>
      <c r="F16" s="22" t="s">
        <v>54</v>
      </c>
      <c r="G16" s="10">
        <v>1</v>
      </c>
      <c r="H16" s="10"/>
      <c r="I16" s="10"/>
      <c r="J16" s="10"/>
      <c r="K16" s="10">
        <v>76</v>
      </c>
      <c r="L16" s="10">
        <v>58</v>
      </c>
      <c r="M16" s="10"/>
      <c r="N16" s="10"/>
      <c r="O16" s="10"/>
      <c r="P16" s="10"/>
      <c r="Q16" s="10"/>
      <c r="R16" s="10"/>
    </row>
    <row r="17" spans="1:18" s="28" customFormat="1" ht="13.8" customHeight="1" x14ac:dyDescent="0.3">
      <c r="A17" s="23">
        <v>46144</v>
      </c>
      <c r="B17" s="24" t="s">
        <v>7</v>
      </c>
      <c r="C17" s="24" t="s">
        <v>23</v>
      </c>
      <c r="D17" s="24" t="s">
        <v>49</v>
      </c>
      <c r="E17" s="25" t="s">
        <v>42</v>
      </c>
      <c r="F17" s="26" t="s">
        <v>55</v>
      </c>
      <c r="G17" s="26">
        <v>1</v>
      </c>
      <c r="H17" s="27"/>
      <c r="I17" s="27"/>
      <c r="J17" s="27"/>
      <c r="K17" s="27">
        <v>75</v>
      </c>
      <c r="L17" s="27">
        <v>45</v>
      </c>
      <c r="M17" s="27"/>
      <c r="N17" s="27"/>
      <c r="O17" s="27"/>
      <c r="P17" s="27"/>
      <c r="Q17" s="27"/>
      <c r="R17" s="27"/>
    </row>
    <row r="18" spans="1:18" s="28" customFormat="1" x14ac:dyDescent="0.3">
      <c r="A18" s="19"/>
      <c r="B18" s="20"/>
      <c r="C18" s="20"/>
      <c r="D18" s="20"/>
      <c r="E18" s="20"/>
      <c r="F18" s="22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5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7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4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4"/>
      <c r="B24" s="2"/>
      <c r="C24" s="2"/>
      <c r="D24" s="2"/>
      <c r="E24" s="2"/>
      <c r="F24" s="6"/>
    </row>
    <row r="25" spans="1:18" x14ac:dyDescent="0.3">
      <c r="A25" s="4"/>
      <c r="B25" s="2"/>
      <c r="C25" s="2"/>
      <c r="D25" s="2"/>
      <c r="E25" s="3"/>
      <c r="F25" s="6"/>
    </row>
    <row r="26" spans="1:18" x14ac:dyDescent="0.3">
      <c r="A26" s="4"/>
      <c r="B26" s="2"/>
      <c r="C26" s="2"/>
      <c r="D26" s="2"/>
      <c r="E26" s="5"/>
      <c r="F26" s="6"/>
    </row>
    <row r="27" spans="1:18" x14ac:dyDescent="0.3">
      <c r="A27" s="4"/>
      <c r="B27" s="2"/>
      <c r="C27" s="2"/>
      <c r="D27" s="2"/>
      <c r="E27" s="5"/>
      <c r="F27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2026-05-02T16:23:41Z</dcterms:modified>
</cp:coreProperties>
</file>
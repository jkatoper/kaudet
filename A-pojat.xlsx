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E7FAE338-9202-4A1B-B77E-F41DCAEB9FCF}" xr6:coauthVersionLast="47" xr6:coauthVersionMax="47" xr10:uidLastSave="{00000000-0000-0000-0000-000000000000}"/>
  <bookViews>
    <workbookView xWindow="384" yWindow="384" windowWidth="21876" windowHeight="12012" tabRatio="880" activeTab="1" xr2:uid="{CFC6D258-5D3C-46F8-BFEC-F3C271445404}"/>
  </bookViews>
  <sheets>
    <sheet name="A 2025-2027" sheetId="10" r:id="rId1"/>
    <sheet name="A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0" l="1"/>
  <c r="E2" i="10"/>
  <c r="D2" i="10"/>
  <c r="Q4" i="18"/>
  <c r="J2" i="10" s="1"/>
  <c r="O4" i="18"/>
  <c r="I2" i="10" s="1"/>
  <c r="Q3" i="18"/>
  <c r="H2" i="10" s="1"/>
  <c r="O3" i="18"/>
  <c r="Q2" i="18"/>
  <c r="F2" i="10" s="1"/>
  <c r="P2" i="18"/>
  <c r="O2" i="18"/>
  <c r="G4" i="10" l="1"/>
  <c r="H4" i="10"/>
  <c r="I4" i="10"/>
  <c r="J4" i="10"/>
  <c r="E4" i="10"/>
  <c r="F4" i="10"/>
  <c r="D4" i="10"/>
  <c r="R4" i="18"/>
  <c r="R2" i="18"/>
  <c r="C2" i="10" s="1"/>
  <c r="R3" i="18"/>
  <c r="C4" i="10" l="1"/>
</calcChain>
</file>

<file path=xl/sharedStrings.xml><?xml version="1.0" encoding="utf-8"?>
<sst xmlns="http://schemas.openxmlformats.org/spreadsheetml/2006/main" count="57" uniqueCount="40">
  <si>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</si>
  <si>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</si>
  <si>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</si>
  <si>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</si>
  <si>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</si>
  <si>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</si>
  <si>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</si>
  <si>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</si>
  <si>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</si>
  <si>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</si>
  <si>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</si>
  <si>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</si>
  <si>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</si>
  <si>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</si>
  <si>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</si>
  <si>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</si>
  <si>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</si>
  <si>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</si>
  <si>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</si>
  <si>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</si>
  <si>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eräpisteet I-V</t>
  </si>
  <si>
    <t>2025-2026</t>
  </si>
  <si>
    <t>Lempo</t>
  </si>
  <si>
    <t>Lempo A2</t>
  </si>
  <si>
    <t>Salpis</t>
  </si>
  <si>
    <t>PuMa A1</t>
  </si>
  <si>
    <t>PuMa A2</t>
  </si>
  <si>
    <t>2-1</t>
  </si>
  <si>
    <t>25-17,20-25,15-9</t>
  </si>
  <si>
    <t>0-2</t>
  </si>
  <si>
    <t>16-25,10-25</t>
  </si>
  <si>
    <t>1-2</t>
  </si>
  <si>
    <t>28-26,17-25,14-16</t>
  </si>
  <si>
    <t>pisteet Lempo</t>
  </si>
  <si>
    <t>VaLePa</t>
  </si>
  <si>
    <t>OsVa PU17</t>
  </si>
  <si>
    <t>Jou</t>
  </si>
  <si>
    <t>13-25,15-25</t>
  </si>
  <si>
    <t>21-25,17-25</t>
  </si>
  <si>
    <t>21-25,14-25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</si>
</sst>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4"/>
  <sheetViews>
    <sheetView workbookViewId="0">
      <selection activeCell="H12" sqref="H12"/>
    </sheetView>
  </sheetViews>
  <sheetFormatPr defaultRowHeight="14.4" x14ac:dyDescent="0.3"/>
  <cols>
    <col min="1" max="11" width="10.77734375" customWidth="1"/>
  </cols>
  <sheetData>
    <row r="1" spans="1:11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33</v>
      </c>
      <c r="H1" s="9" t="s">
        <v>17</v>
      </c>
      <c r="I1" s="9" t="s">
        <v>20</v>
      </c>
      <c r="J1" s="9" t="s">
        <v>18</v>
      </c>
      <c r="K1" s="9" t="s">
        <v>19</v>
      </c>
    </row>
    <row r="2" spans="1:11" x14ac:dyDescent="0.3">
      <c r="A2" s="10" t="s">
        <v>23</v>
      </c>
      <c r="B2" s="10" t="s">
        <v>21</v>
      </c>
      <c r="C2" s="10">
        <f>'A 2025-2026'!R2</f>
        <v>6</v>
      </c>
      <c r="D2" s="10">
        <f>'A 2025-2026'!O2</f>
        <v>1</v>
      </c>
      <c r="E2" s="10">
        <f>'A 2025-2026'!P2</f>
        <v>0</v>
      </c>
      <c r="F2" s="10">
        <f>'A 2025-2026'!Q2</f>
        <v>5</v>
      </c>
      <c r="G2" s="10">
        <f>'A 2025-2026'!O3</f>
        <v>2</v>
      </c>
      <c r="H2" s="10">
        <f>'A 2025-2026'!Q3</f>
        <v>10</v>
      </c>
      <c r="I2" s="10">
        <f>'A 2025-2026'!O4</f>
        <v>256</v>
      </c>
      <c r="J2" s="10">
        <f>'A 2025-2026'!Q4</f>
        <v>318</v>
      </c>
      <c r="K2" s="10"/>
    </row>
    <row r="3" spans="1:11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1" x14ac:dyDescent="0.3">
      <c r="A4" s="10"/>
      <c r="B4" s="11" t="s">
        <v>6</v>
      </c>
      <c r="C4" s="11">
        <f t="shared" ref="C4:J4" si="0">SUM(C2:C3)</f>
        <v>6</v>
      </c>
      <c r="D4" s="11">
        <f t="shared" si="0"/>
        <v>1</v>
      </c>
      <c r="E4" s="11">
        <f t="shared" si="0"/>
        <v>0</v>
      </c>
      <c r="F4" s="11">
        <f t="shared" si="0"/>
        <v>5</v>
      </c>
      <c r="G4" s="12">
        <f t="shared" si="0"/>
        <v>2</v>
      </c>
      <c r="H4" s="12">
        <f t="shared" si="0"/>
        <v>10</v>
      </c>
      <c r="I4" s="12">
        <f t="shared" si="0"/>
        <v>256</v>
      </c>
      <c r="J4" s="12">
        <f t="shared" si="0"/>
        <v>318</v>
      </c>
      <c r="K4" s="10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workbookViewId="0">
      <selection activeCell="K8" sqref="K8"/>
    </sheetView>
  </sheetViews>
  <sheetFormatPr defaultRowHeight="14.4" x14ac:dyDescent="0.3"/>
  <cols>
    <col min="1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22</v>
      </c>
      <c r="P1" s="9" t="s">
        <v>10</v>
      </c>
      <c r="Q1" s="9" t="s">
        <v>5</v>
      </c>
      <c r="R1" s="9" t="s">
        <v>6</v>
      </c>
      <c r="S1" s="1"/>
    </row>
    <row r="2" spans="1:19" ht="28.8" x14ac:dyDescent="0.3">
      <c r="A2" s="19">
        <v>45962</v>
      </c>
      <c r="B2" s="20" t="s">
        <v>7</v>
      </c>
      <c r="C2" s="20" t="s">
        <v>23</v>
      </c>
      <c r="D2" s="20" t="s">
        <v>24</v>
      </c>
      <c r="E2" s="21" t="s">
        <v>27</v>
      </c>
      <c r="F2" s="20" t="s">
        <v>28</v>
      </c>
      <c r="G2" s="20"/>
      <c r="H2" s="10">
        <v>1</v>
      </c>
      <c r="I2" s="10"/>
      <c r="J2" s="10"/>
      <c r="K2" s="10">
        <v>70</v>
      </c>
      <c r="L2" s="10">
        <v>51</v>
      </c>
      <c r="M2" s="10"/>
      <c r="N2" s="11" t="s">
        <v>8</v>
      </c>
      <c r="O2" s="10">
        <f>SUM(H2:H29)</f>
        <v>1</v>
      </c>
      <c r="P2" s="10">
        <f>SUM(I2:I29)</f>
        <v>0</v>
      </c>
      <c r="Q2" s="10">
        <f>SUM(J2:J29)</f>
        <v>5</v>
      </c>
      <c r="R2" s="10">
        <f>SUM(O2:Q2)</f>
        <v>6</v>
      </c>
    </row>
    <row r="3" spans="1:19" x14ac:dyDescent="0.3">
      <c r="A3" s="23">
        <v>45962</v>
      </c>
      <c r="B3" s="15" t="s">
        <v>7</v>
      </c>
      <c r="C3" s="14" t="s">
        <v>23</v>
      </c>
      <c r="D3" s="14" t="s">
        <v>25</v>
      </c>
      <c r="E3" s="15" t="s">
        <v>29</v>
      </c>
      <c r="F3" s="14" t="s">
        <v>30</v>
      </c>
      <c r="G3" s="8"/>
      <c r="H3" s="8"/>
      <c r="I3" s="8"/>
      <c r="J3" s="8">
        <v>1</v>
      </c>
      <c r="K3" s="8">
        <v>26</v>
      </c>
      <c r="L3" s="8">
        <v>50</v>
      </c>
      <c r="M3" s="8"/>
      <c r="N3" s="7" t="s">
        <v>4</v>
      </c>
      <c r="O3" s="8">
        <f>SUM(H2:H29)*2+SUM(I2:I29)</f>
        <v>2</v>
      </c>
      <c r="P3" s="8"/>
      <c r="Q3" s="8">
        <f>SUM(J2:J29)*2+SUM(I2:I29)</f>
        <v>10</v>
      </c>
      <c r="R3" s="8">
        <f>SUM(O3:Q3)</f>
        <v>12</v>
      </c>
    </row>
    <row r="4" spans="1:19" ht="28.8" x14ac:dyDescent="0.3">
      <c r="A4" s="19">
        <v>45962</v>
      </c>
      <c r="B4" s="20" t="s">
        <v>7</v>
      </c>
      <c r="C4" s="20" t="s">
        <v>23</v>
      </c>
      <c r="D4" s="20" t="s">
        <v>26</v>
      </c>
      <c r="E4" s="21" t="s">
        <v>31</v>
      </c>
      <c r="F4" s="20" t="s">
        <v>32</v>
      </c>
      <c r="G4" s="10"/>
      <c r="H4" s="10"/>
      <c r="I4" s="10"/>
      <c r="J4" s="10">
        <v>1</v>
      </c>
      <c r="K4" s="10">
        <v>59</v>
      </c>
      <c r="L4" s="10">
        <v>67</v>
      </c>
      <c r="M4" s="10"/>
      <c r="N4" s="11" t="s">
        <v>9</v>
      </c>
      <c r="O4" s="10">
        <f>SUM(K2:K30)</f>
        <v>256</v>
      </c>
      <c r="P4" s="10"/>
      <c r="Q4" s="10">
        <f>SUM(L2:L30)</f>
        <v>318</v>
      </c>
      <c r="R4" s="10">
        <f>SUM(O4:Q4)</f>
        <v>574</v>
      </c>
    </row>
    <row r="5" spans="1:19" x14ac:dyDescent="0.3">
      <c r="A5" s="13">
        <v>45981</v>
      </c>
      <c r="B5" s="14" t="s">
        <v>7</v>
      </c>
      <c r="C5" s="14" t="s">
        <v>23</v>
      </c>
      <c r="D5" s="14" t="s">
        <v>36</v>
      </c>
      <c r="E5" s="14" t="s">
        <v>29</v>
      </c>
      <c r="F5" s="16" t="s">
        <v>37</v>
      </c>
      <c r="G5" s="16"/>
      <c r="H5" s="8"/>
      <c r="I5" s="8"/>
      <c r="J5" s="8">
        <v>1</v>
      </c>
      <c r="K5" s="8">
        <v>28</v>
      </c>
      <c r="L5" s="8">
        <v>50</v>
      </c>
      <c r="M5" s="8"/>
      <c r="N5" s="8"/>
      <c r="O5" s="8"/>
      <c r="P5" s="8"/>
      <c r="Q5" s="8"/>
      <c r="R5" s="8"/>
    </row>
    <row r="6" spans="1:19" x14ac:dyDescent="0.3">
      <c r="A6" s="19">
        <v>45981</v>
      </c>
      <c r="B6" s="20" t="s">
        <v>7</v>
      </c>
      <c r="C6" s="20" t="s">
        <v>23</v>
      </c>
      <c r="D6" s="20" t="s">
        <v>34</v>
      </c>
      <c r="E6" s="21" t="s">
        <v>29</v>
      </c>
      <c r="F6" s="22" t="s">
        <v>38</v>
      </c>
      <c r="G6" s="22"/>
      <c r="H6" s="10"/>
      <c r="I6" s="10"/>
      <c r="J6" s="10">
        <v>1</v>
      </c>
      <c r="K6" s="10">
        <v>38</v>
      </c>
      <c r="L6" s="10">
        <v>50</v>
      </c>
      <c r="M6" s="10"/>
      <c r="N6" s="10"/>
      <c r="O6" s="10"/>
      <c r="P6" s="10"/>
      <c r="Q6" s="10"/>
      <c r="R6" s="10"/>
    </row>
    <row r="7" spans="1:19" x14ac:dyDescent="0.3">
      <c r="A7" s="13">
        <v>45981</v>
      </c>
      <c r="B7" s="14" t="s">
        <v>7</v>
      </c>
      <c r="C7" s="14" t="s">
        <v>23</v>
      </c>
      <c r="D7" s="14" t="s">
        <v>35</v>
      </c>
      <c r="E7" s="14" t="s">
        <v>29</v>
      </c>
      <c r="F7" s="16" t="s">
        <v>39</v>
      </c>
      <c r="G7" s="16"/>
      <c r="H7" s="8"/>
      <c r="I7" s="8"/>
      <c r="J7" s="8">
        <v>1</v>
      </c>
      <c r="K7" s="8">
        <v>35</v>
      </c>
      <c r="L7" s="8">
        <v>50</v>
      </c>
      <c r="M7" s="8"/>
      <c r="N7" s="8"/>
      <c r="O7" s="8"/>
      <c r="P7" s="8"/>
      <c r="Q7" s="8"/>
      <c r="R7" s="8"/>
    </row>
    <row r="8" spans="1:19" x14ac:dyDescent="0.3">
      <c r="A8" s="19"/>
      <c r="B8" s="20"/>
      <c r="C8" s="20"/>
      <c r="D8" s="20"/>
      <c r="E8" s="21"/>
      <c r="F8" s="22"/>
      <c r="G8" s="22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</row>
    <row r="9" spans="1:19" x14ac:dyDescent="0.3">
      <c r="A9" s="13"/>
      <c r="B9" s="14"/>
      <c r="C9" s="14"/>
      <c r="D9" s="14"/>
      <c r="E9" s="15"/>
      <c r="F9" s="16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19" x14ac:dyDescent="0.3">
      <c r="A10" s="19"/>
      <c r="B10" s="20"/>
      <c r="C10" s="20"/>
      <c r="D10" s="20"/>
      <c r="E10" s="21"/>
      <c r="F10" s="22"/>
      <c r="G10" s="22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</row>
    <row r="11" spans="1:19" x14ac:dyDescent="0.3">
      <c r="A11" s="13"/>
      <c r="B11" s="14"/>
      <c r="C11" s="14"/>
      <c r="D11" s="14"/>
      <c r="E11" s="15"/>
      <c r="F11" s="16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9" x14ac:dyDescent="0.3">
      <c r="A12" s="19"/>
      <c r="B12" s="20"/>
      <c r="C12" s="20"/>
      <c r="D12" s="20"/>
      <c r="E12" s="21"/>
      <c r="F12" s="22"/>
      <c r="G12" s="22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</row>
    <row r="13" spans="1:19" x14ac:dyDescent="0.3">
      <c r="A13" s="13"/>
      <c r="B13" s="14"/>
      <c r="C13" s="14"/>
      <c r="D13" s="14"/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/>
      <c r="B14" s="20"/>
      <c r="C14" s="20"/>
      <c r="D14" s="20"/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8"/>
      <c r="B15" s="14"/>
      <c r="C15" s="14"/>
      <c r="D15" s="14"/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/>
      <c r="D16" s="20"/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/>
      <c r="D17" s="14"/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/>
      <c r="D18" s="20"/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/>
      <c r="D19" s="14"/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 2025-2027</vt:lpstr>
      <vt:lpstr>A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2025-11-22T17:22:36Z</dcterms:modified>
</cp:coreProperties>
</file>
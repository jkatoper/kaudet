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534EDCBF-8398-4C81-9307-678A6AA56A25}" xr6:coauthVersionLast="47" xr6:coauthVersionMax="47" xr10:uidLastSave="{00000000-0000-0000-0000-000000000000}"/>
  <bookViews>
    <workbookView xWindow="0" yWindow="1596" windowWidth="23040" windowHeight="12804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0" l="1"/>
  <c r="I11" i="10"/>
  <c r="F11" i="10"/>
  <c r="H11" i="10" s="1"/>
  <c r="E11" i="10"/>
  <c r="D11" i="10"/>
  <c r="G11" i="10" s="1"/>
  <c r="C11" i="10"/>
  <c r="J12" i="10" l="1"/>
  <c r="I12" i="10"/>
  <c r="H12" i="10"/>
  <c r="G12" i="10"/>
  <c r="F12" i="10"/>
  <c r="E12" i="10"/>
  <c r="D12" i="10"/>
  <c r="C12" i="10"/>
  <c r="J7" i="10" l="1"/>
  <c r="I7" i="10"/>
  <c r="H7" i="10"/>
  <c r="G7" i="10"/>
  <c r="F7" i="10"/>
  <c r="E7" i="10"/>
  <c r="D7" i="10"/>
  <c r="C7" i="10"/>
  <c r="H8" i="10" l="1"/>
  <c r="J8" i="10"/>
  <c r="I8" i="10"/>
  <c r="G8" i="10"/>
  <c r="F8" i="10"/>
  <c r="E8" i="10"/>
  <c r="D8" i="10"/>
  <c r="C8" i="10"/>
  <c r="J6" i="10" l="1"/>
  <c r="I6" i="10"/>
  <c r="H6" i="10"/>
  <c r="G6" i="10"/>
  <c r="F6" i="10"/>
  <c r="E6" i="10"/>
  <c r="D6" i="10"/>
  <c r="C6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I2" i="10"/>
  <c r="H2" i="10"/>
  <c r="H9" i="10" s="1"/>
  <c r="G2" i="10"/>
  <c r="G9" i="10" s="1"/>
  <c r="F2" i="10"/>
  <c r="F9" i="10" s="1"/>
  <c r="E2" i="10"/>
  <c r="E9" i="10" s="1"/>
  <c r="D2" i="10"/>
  <c r="D9" i="10" s="1"/>
  <c r="C2" i="10"/>
  <c r="C9" i="10" s="1"/>
  <c r="I9" i="10" l="1"/>
  <c r="I14" i="10" s="1"/>
  <c r="J9" i="10"/>
  <c r="J14" i="10" s="1"/>
  <c r="H14" i="10"/>
  <c r="G14" i="10"/>
  <c r="F14" i="10"/>
  <c r="E14" i="10"/>
  <c r="D14" i="10"/>
  <c r="C14" i="10"/>
</calcChain>
</file>

<file path=xl/sharedStrings.xml><?xml version="1.0" encoding="utf-8"?>
<sst xmlns="http://schemas.openxmlformats.org/spreadsheetml/2006/main" count="35" uniqueCount="35">
  <si>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</si>
  <si>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</si>
  <si>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</si>
  <si>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</si>
  <si>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</si>
  <si>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</si>
  <si>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</si>
  <si>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</si>
  <si>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</si>
  <si>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</si>
  <si>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</si>
  <si>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</si>
  <si>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</si>
  <si>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</si>
  <si>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</si>
  <si>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</si>
  <si>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</si>
  <si>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</si>
  <si>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</si>
  <si>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</si>
  <si>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</si>
  <si>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</si>
  <si>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</si>
  <si>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</si>
  <si>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</si>
  <si>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</si>
  <si>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</si>
  <si>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</si>
  <si>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A</t>
  </si>
  <si>
    <t>2023-2026</t>
  </si>
  <si>
    <t>2025-2026</t>
  </si>
  <si>
    <t>M2</t>
  </si>
  <si>
    <t>2025-2027</t>
  </si>
  <si>
    <t>15,23,14</t>
  </si>
  <si>
    <t>2024-2026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</si>
</sst>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-pojat.xlsx" TargetMode="External"/><Relationship Id="rId1" Type="http://schemas.openxmlformats.org/officeDocument/2006/relationships/externalLinkPath" Target="B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powercup.xlsx" TargetMode="External"/><Relationship Id="rId1" Type="http://schemas.openxmlformats.org/officeDocument/2006/relationships/externalLinkPath" Target="powercup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beachvolley.xlsx" TargetMode="External"/><Relationship Id="rId1" Type="http://schemas.openxmlformats.org/officeDocument/2006/relationships/externalLinkPath" Target="beachvoll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6"/>
      <sheetName val="B 2025-2026"/>
      <sheetName val="B 2024-2025"/>
      <sheetName val="B 2023-2024"/>
    </sheetNames>
    <sheetDataSet>
      <sheetData sheetId="0">
        <row r="5">
          <cell r="C5">
            <v>72</v>
          </cell>
          <cell r="D5">
            <v>33</v>
          </cell>
          <cell r="E5">
            <v>7</v>
          </cell>
          <cell r="F5">
            <v>32</v>
          </cell>
          <cell r="G5">
            <v>74</v>
          </cell>
          <cell r="H5">
            <v>72</v>
          </cell>
          <cell r="I5">
            <v>3460</v>
          </cell>
          <cell r="J5">
            <v>3480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5-2026"/>
    </sheetNames>
    <sheetDataSet>
      <sheetData sheetId="0">
        <row r="4">
          <cell r="C4">
            <v>19</v>
          </cell>
          <cell r="D4">
            <v>10</v>
          </cell>
          <cell r="E4">
            <v>0</v>
          </cell>
          <cell r="F4">
            <v>9</v>
          </cell>
          <cell r="G4">
            <v>23</v>
          </cell>
          <cell r="H4">
            <v>19</v>
          </cell>
          <cell r="I4">
            <v>973</v>
          </cell>
          <cell r="J4">
            <v>943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18</v>
          </cell>
          <cell r="D2">
            <v>5</v>
          </cell>
          <cell r="E2"/>
          <cell r="F2">
            <v>13</v>
          </cell>
          <cell r="G2">
            <v>16</v>
          </cell>
          <cell r="H2">
            <v>38</v>
          </cell>
          <cell r="I2">
            <v>1414</v>
          </cell>
          <cell r="J2">
            <v>1595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6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12">
          <cell r="C12">
            <v>179</v>
          </cell>
          <cell r="D12">
            <v>109</v>
          </cell>
          <cell r="E12">
            <v>0</v>
          </cell>
          <cell r="F12">
            <v>70</v>
          </cell>
          <cell r="G12">
            <v>8881</v>
          </cell>
          <cell r="H12">
            <v>8297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U18_2026"/>
      <sheetName val="U18_2025"/>
      <sheetName val="U16_2025"/>
      <sheetName val="U16_2024"/>
      <sheetName val="U16_2023"/>
      <sheetName val="U14_2023"/>
    </sheetNames>
    <sheetDataSet>
      <sheetData sheetId="0">
        <row r="8">
          <cell r="C8">
            <v>69</v>
          </cell>
          <cell r="D8">
            <v>23</v>
          </cell>
          <cell r="E8">
            <v>2</v>
          </cell>
          <cell r="F8">
            <v>44</v>
          </cell>
          <cell r="G8">
            <v>69</v>
          </cell>
          <cell r="H8">
            <v>112</v>
          </cell>
          <cell r="I8">
            <v>2267</v>
          </cell>
          <cell r="J8">
            <v>2499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B13" sqref="B13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29</v>
      </c>
      <c r="C6" s="4">
        <f>'[4]B 2023-2026'!$C$5</f>
        <v>72</v>
      </c>
      <c r="D6" s="4">
        <f>'[4]B 2023-2026'!$D$5</f>
        <v>33</v>
      </c>
      <c r="E6" s="4">
        <f>'[4]B 2023-2026'!$E$5</f>
        <v>7</v>
      </c>
      <c r="F6" s="4">
        <f>'[4]B 2023-2026'!$F$5</f>
        <v>32</v>
      </c>
      <c r="G6" s="4">
        <f>'[4]B 2023-2026'!$G$5</f>
        <v>74</v>
      </c>
      <c r="H6" s="4">
        <f>'[4]B 2023-2026'!$H$5</f>
        <v>72</v>
      </c>
      <c r="I6" s="4">
        <f>'[4]B 2023-2026'!$I$5</f>
        <v>3460</v>
      </c>
      <c r="J6" s="4">
        <f>'[4]B 2023-2026'!$J$5</f>
        <v>3480</v>
      </c>
      <c r="K6" s="4" t="s">
        <v>33</v>
      </c>
    </row>
    <row r="7" spans="1:11" x14ac:dyDescent="0.3">
      <c r="A7" s="5" t="s">
        <v>28</v>
      </c>
      <c r="B7" s="5" t="s">
        <v>30</v>
      </c>
      <c r="C7" s="5">
        <f>'[5]A 2025-2027'!$C$4</f>
        <v>19</v>
      </c>
      <c r="D7" s="5">
        <f>'[5]A 2025-2027'!$D$4</f>
        <v>10</v>
      </c>
      <c r="E7" s="5">
        <f>'[5]A 2025-2027'!$E$4</f>
        <v>0</v>
      </c>
      <c r="F7" s="5">
        <f>'[5]A 2025-2027'!$F$4</f>
        <v>9</v>
      </c>
      <c r="G7" s="5">
        <f>'[5]A 2025-2027'!$G$4</f>
        <v>23</v>
      </c>
      <c r="H7" s="5">
        <f>'[5]A 2025-2027'!$H$4</f>
        <v>19</v>
      </c>
      <c r="I7" s="5">
        <f>'[5]A 2025-2027'!$I$4</f>
        <v>973</v>
      </c>
      <c r="J7" s="5">
        <f>'[5]A 2025-2027'!$J$4</f>
        <v>943</v>
      </c>
      <c r="K7" s="9">
        <v>18</v>
      </c>
    </row>
    <row r="8" spans="1:11" x14ac:dyDescent="0.3">
      <c r="A8" s="4" t="s">
        <v>31</v>
      </c>
      <c r="B8" s="4" t="s">
        <v>32</v>
      </c>
      <c r="C8" s="4">
        <f>'[6]M2 2025-2027'!$C$2</f>
        <v>18</v>
      </c>
      <c r="D8" s="4">
        <f>'[6]M2 2025-2027'!$D$2</f>
        <v>5</v>
      </c>
      <c r="E8" s="4">
        <f>'[6]M2 2025-2027'!$E$2</f>
        <v>0</v>
      </c>
      <c r="F8" s="4">
        <f>'[6]M2 2025-2027'!$F$2</f>
        <v>13</v>
      </c>
      <c r="G8" s="4">
        <f>'[6]M2 2025-2027'!$G$2</f>
        <v>16</v>
      </c>
      <c r="H8" s="4">
        <f>'[6]M2 2025-2027'!$H$2</f>
        <v>38</v>
      </c>
      <c r="I8" s="4">
        <f>'[6]M2 2025-2027'!$I$2</f>
        <v>1414</v>
      </c>
      <c r="J8" s="4">
        <f>'[6]M2 2025-2027'!$J$2</f>
        <v>1595</v>
      </c>
      <c r="K8" s="4"/>
    </row>
    <row r="9" spans="1:11" x14ac:dyDescent="0.3">
      <c r="A9" s="6" t="s">
        <v>24</v>
      </c>
      <c r="B9" s="5"/>
      <c r="C9" s="7">
        <f>SUM(C2:C8)</f>
        <v>478</v>
      </c>
      <c r="D9" s="7">
        <f t="shared" ref="D9:J9" si="0">SUM(D2:D8)</f>
        <v>263</v>
      </c>
      <c r="E9" s="7">
        <f t="shared" si="0"/>
        <v>24</v>
      </c>
      <c r="F9" s="7">
        <f t="shared" si="0"/>
        <v>205</v>
      </c>
      <c r="G9" s="7">
        <f t="shared" si="0"/>
        <v>450</v>
      </c>
      <c r="H9" s="7">
        <f t="shared" si="0"/>
        <v>404</v>
      </c>
      <c r="I9" s="7">
        <f t="shared" si="0"/>
        <v>20464</v>
      </c>
      <c r="J9" s="7">
        <f t="shared" si="0"/>
        <v>19612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[7]powercup!$C$12</f>
        <v>179</v>
      </c>
      <c r="D11" s="5">
        <f>[7]powercup!$D$12</f>
        <v>109</v>
      </c>
      <c r="E11" s="5">
        <f>[7]powercup!$E$12</f>
        <v>0</v>
      </c>
      <c r="F11" s="5">
        <f>[7]powercup!$F$12</f>
        <v>70</v>
      </c>
      <c r="G11" s="5">
        <f>2*D11</f>
        <v>218</v>
      </c>
      <c r="H11" s="5">
        <f>2*F11</f>
        <v>140</v>
      </c>
      <c r="I11" s="5">
        <f>[7]powercup!$G$12</f>
        <v>8881</v>
      </c>
      <c r="J11" s="5">
        <f>[7]powercup!$H$12</f>
        <v>8297</v>
      </c>
      <c r="K11" s="5"/>
    </row>
    <row r="12" spans="1:11" x14ac:dyDescent="0.3">
      <c r="A12" s="8" t="s">
        <v>22</v>
      </c>
      <c r="B12" s="4" t="s">
        <v>34</v>
      </c>
      <c r="C12" s="4">
        <f>[8]all!$C$8</f>
        <v>69</v>
      </c>
      <c r="D12" s="4">
        <f>[8]all!$D$8</f>
        <v>23</v>
      </c>
      <c r="E12" s="4">
        <f>[8]all!$E$8</f>
        <v>2</v>
      </c>
      <c r="F12" s="4">
        <f>[8]all!$F$8</f>
        <v>44</v>
      </c>
      <c r="G12" s="4">
        <f>[8]all!$G$8</f>
        <v>69</v>
      </c>
      <c r="H12" s="4">
        <f>[8]all!$H$8</f>
        <v>112</v>
      </c>
      <c r="I12" s="4">
        <f>[8]all!$I$8</f>
        <v>2267</v>
      </c>
      <c r="J12" s="4">
        <f>[8]all!$J$8</f>
        <v>2499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726</v>
      </c>
      <c r="D14" s="4">
        <f t="shared" ref="D14:J14" si="1">SUM(D9:D12)</f>
        <v>395</v>
      </c>
      <c r="E14" s="4">
        <f t="shared" si="1"/>
        <v>26</v>
      </c>
      <c r="F14" s="4">
        <f t="shared" si="1"/>
        <v>319</v>
      </c>
      <c r="G14" s="4">
        <f t="shared" si="1"/>
        <v>737</v>
      </c>
      <c r="H14" s="4">
        <f t="shared" si="1"/>
        <v>656</v>
      </c>
      <c r="I14" s="4">
        <f t="shared" si="1"/>
        <v>31612</v>
      </c>
      <c r="J14" s="4">
        <f t="shared" si="1"/>
        <v>30408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2024-06-25T08:40:00Z</dcterms:created>
  <dcterms:modified xsi:type="dcterms:W3CDTF">2026-06-17T04:45:37Z</dcterms:modified>
</cp:coreProperties>
</file>
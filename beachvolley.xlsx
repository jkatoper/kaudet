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EA6EC56-ACED-4F78-BC30-0D7E482F5A90}" xr6:coauthVersionLast="47" xr6:coauthVersionMax="47" xr10:uidLastSave="{00000000-0000-0000-0000-000000000000}"/>
  <bookViews>
    <workbookView xWindow="1848" yWindow="0" windowWidth="19992" windowHeight="13776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<sst xmlns="http://schemas.openxmlformats.org/spreadsheetml/2006/main" count="727" uniqueCount="203">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</sst>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6</v>
      </c>
      <c r="D8" s="12">
        <f>JNCT_2026!Q3</f>
        <v>0</v>
      </c>
      <c r="E8" s="12">
        <v>0</v>
      </c>
      <c r="F8" s="12">
        <f>JNCT_2026!S2</f>
        <v>6</v>
      </c>
      <c r="G8" s="12">
        <f>JNCT_2026!Q3</f>
        <v>0</v>
      </c>
      <c r="H8" s="12">
        <f>JNCT_2026!R3</f>
        <v>18</v>
      </c>
      <c r="I8" s="12">
        <f>JNCT_2026!Q4</f>
        <v>152</v>
      </c>
      <c r="J8" s="12">
        <f>JNCT_2026!R4</f>
        <v>252</v>
      </c>
    </row>
    <row r="9" spans="1:11" s="6" customFormat="1" x14ac:dyDescent="0.3">
      <c r="A9" s="33" t="s">
        <v>57</v>
      </c>
      <c r="B9" s="33"/>
      <c r="C9" s="33">
        <f>SUM(C2:C8)</f>
        <v>86</v>
      </c>
      <c r="D9" s="33">
        <f t="shared" ref="D9:J9" si="1">SUM(D2:D8)</f>
        <v>26</v>
      </c>
      <c r="E9" s="33">
        <f t="shared" si="1"/>
        <v>3</v>
      </c>
      <c r="F9" s="33">
        <f t="shared" si="1"/>
        <v>57</v>
      </c>
      <c r="G9" s="33">
        <f t="shared" si="1"/>
        <v>77</v>
      </c>
      <c r="H9" s="33">
        <f t="shared" si="1"/>
        <v>140</v>
      </c>
      <c r="I9" s="33">
        <f t="shared" si="1"/>
        <v>2419</v>
      </c>
      <c r="J9" s="33">
        <f t="shared" si="1"/>
        <v>2751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opLeftCell="A4" workbookViewId="0">
      <selection activeCell="B8" sqref="B8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6</v>
      </c>
      <c r="S2" s="12">
        <f>SUM(Q2:R2)</f>
        <v>6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18</v>
      </c>
      <c r="S3" s="30">
        <f>SUM(Q3:R3)</f>
        <v>18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152</v>
      </c>
      <c r="R4" s="12">
        <f>SUM(N2:N12)</f>
        <v>252</v>
      </c>
      <c r="S4" s="12">
        <f>SUM(Q4:R4)</f>
        <v>404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x14ac:dyDescent="0.3">
      <c r="A8" s="12" t="s">
        <v>117</v>
      </c>
      <c r="B8" s="16"/>
      <c r="C8" s="12"/>
      <c r="D8" s="12"/>
      <c r="E8" s="12"/>
      <c r="F8" s="12"/>
      <c r="G8" s="21"/>
      <c r="H8" s="19"/>
      <c r="I8" s="19"/>
      <c r="J8" s="19"/>
      <c r="K8" s="19"/>
      <c r="L8" s="19"/>
      <c r="M8" s="19"/>
      <c r="N8" s="19"/>
      <c r="O8" s="19"/>
      <c r="P8" s="18"/>
      <c r="Q8" s="12"/>
      <c r="R8" s="12"/>
      <c r="S8" s="12"/>
    </row>
    <row r="9" spans="1:19" x14ac:dyDescent="0.3">
      <c r="A9" s="30" t="s">
        <v>117</v>
      </c>
      <c r="B9" s="32"/>
      <c r="C9" s="30"/>
      <c r="D9" s="30"/>
      <c r="E9" s="30"/>
      <c r="F9" s="10"/>
      <c r="G9" s="14"/>
      <c r="H9" s="10"/>
      <c r="I9" s="10"/>
      <c r="J9" s="10"/>
      <c r="K9" s="10"/>
      <c r="L9" s="10"/>
      <c r="M9" s="10"/>
      <c r="N9" s="10"/>
      <c r="O9" s="10"/>
      <c r="P9" s="29"/>
      <c r="Q9" s="30"/>
      <c r="R9" s="30"/>
      <c r="S9" s="30"/>
    </row>
    <row r="10" spans="1:19" x14ac:dyDescent="0.3">
      <c r="A10" s="12" t="s">
        <v>117</v>
      </c>
      <c r="B10" s="16"/>
      <c r="C10" s="12"/>
      <c r="D10" s="12"/>
      <c r="E10" s="12"/>
      <c r="F10" s="12"/>
      <c r="G10" s="21"/>
      <c r="H10" s="19"/>
      <c r="I10" s="19"/>
      <c r="J10" s="19"/>
      <c r="K10" s="19"/>
      <c r="L10" s="19"/>
      <c r="M10" s="19"/>
      <c r="N10" s="19"/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6</v>
      </c>
      <c r="M23">
        <f t="shared" si="0"/>
        <v>152</v>
      </c>
      <c r="N23">
        <f t="shared" si="0"/>
        <v>252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topLeftCell="B8" zoomScaleNormal="100" workbookViewId="0">
      <selection activeCell="F14" sqref="F14"/>
    </sheetView>
  </sheetViews>
  <sheetFormatPr defaultRowHeight="14.4" x14ac:dyDescent="0.3"/>
  <cols>
    <col min="1" max="3" width="10.77734375" customWidth="1"/>
    <col min="4" max="6" width="14.77734375" customWidth="1"/>
    <col min="7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41</v>
      </c>
      <c r="E12" s="12" t="s">
        <v>178</v>
      </c>
      <c r="F12" s="12" t="s">
        <v>201</v>
      </c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ht="28.8" x14ac:dyDescent="0.3">
      <c r="A13" s="32"/>
      <c r="B13" s="32">
        <v>46207</v>
      </c>
      <c r="C13" s="30" t="s">
        <v>46</v>
      </c>
      <c r="D13" s="30" t="s">
        <v>41</v>
      </c>
      <c r="E13" s="30" t="s">
        <v>178</v>
      </c>
      <c r="F13" s="30" t="s">
        <v>202</v>
      </c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ht="28.8" x14ac:dyDescent="0.3">
      <c r="A14" s="16"/>
      <c r="B14" s="16">
        <v>46207</v>
      </c>
      <c r="C14" s="12" t="s">
        <v>46</v>
      </c>
      <c r="D14" s="12" t="s">
        <v>41</v>
      </c>
      <c r="E14" s="12" t="s">
        <v>178</v>
      </c>
      <c r="F14" s="12"/>
      <c r="G14" s="17"/>
      <c r="H14" s="12"/>
      <c r="I14" s="12"/>
      <c r="J14" s="12"/>
      <c r="K14" s="12"/>
      <c r="L14" s="12"/>
      <c r="M14" s="12"/>
      <c r="N14" s="12"/>
      <c r="O14" s="12"/>
      <c r="P14" s="18"/>
      <c r="Q14" s="12"/>
      <c r="R14" s="12"/>
      <c r="S14" s="12"/>
      <c r="T14" s="12"/>
    </row>
    <row r="15" spans="1:20" ht="28.8" x14ac:dyDescent="0.3">
      <c r="A15" s="32"/>
      <c r="B15" s="32">
        <v>46207</v>
      </c>
      <c r="C15" s="30" t="s">
        <v>46</v>
      </c>
      <c r="D15" s="30" t="s">
        <v>41</v>
      </c>
      <c r="E15" s="30" t="s">
        <v>178</v>
      </c>
      <c r="F15" s="35"/>
      <c r="G15" s="36"/>
      <c r="H15" s="35"/>
      <c r="I15" s="35"/>
      <c r="J15" s="35"/>
      <c r="K15" s="35"/>
      <c r="L15" s="35"/>
      <c r="M15" s="35"/>
      <c r="N15" s="35"/>
      <c r="O15" s="35"/>
      <c r="P15" s="29"/>
      <c r="Q15" s="30"/>
      <c r="R15" s="30"/>
      <c r="S15" s="30"/>
      <c r="T15" s="30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2026-07-03T10:36:44Z</dcterms:modified>
</cp:coreProperties>
</file>
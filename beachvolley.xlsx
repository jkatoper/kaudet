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CB9DFDA4-81C5-4A3E-9736-E7A88FDB7E65}" xr6:coauthVersionLast="47" xr6:coauthVersionMax="47" xr10:uidLastSave="{00000000-0000-0000-0000-000000000000}"/>
  <bookViews>
    <workbookView xWindow="-108" yWindow="-108" windowWidth="23256" windowHeight="13896" activeTab="7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" l="1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G8" i="4"/>
  <c r="D8" i="4"/>
  <c r="N23" i="8"/>
  <c r="M23" i="8"/>
  <c r="L23" i="8"/>
  <c r="K23" i="8"/>
  <c r="J23" i="8"/>
  <c r="I23" i="8"/>
  <c r="R4" i="8"/>
  <c r="J8" i="4" s="1"/>
  <c r="Q4" i="8"/>
  <c r="R3" i="8"/>
  <c r="H8" i="4" s="1"/>
  <c r="Q3" i="8"/>
  <c r="R2" i="8"/>
  <c r="Q2" i="8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E9" i="4" l="1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<sst xmlns="http://schemas.openxmlformats.org/spreadsheetml/2006/main" count="683" uniqueCount="196">
  <si>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</si>
  <si>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</si>
  <si>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</si>
  <si>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</si>
  <si>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</si>
  <si>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</si>
  <si>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</si>
  <si>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</si>
  <si>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</si>
  <si>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</si>
  <si>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</si>
  <si>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</si>
  <si>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</si>
  <si>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</si>
  <si>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</si>
  <si>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</si>
  <si>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</si>
  <si>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</si>
  <si>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</si>
  <si>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</si>
  <si>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</si>
  <si>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</si>
  <si>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</si>
  <si>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</si>
  <si>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</si>
  <si>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</si>
  <si>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</si>
  <si>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</si>
  <si>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</si>
  <si>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</si>
  <si>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</si>
  <si>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</si>
  <si>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</si>
  <si>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</si>
  <si>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Viljamaa/Kuikka</t>
  </si>
  <si>
    <t>8-21,12-21</t>
  </si>
  <si>
    <t>Katoperä/
Huttunen</t>
  </si>
  <si>
    <t>Poikonen/Saloranta</t>
  </si>
  <si>
    <t>16-21,8-21</t>
  </si>
  <si>
    <t>Nevala/Hietanen</t>
  </si>
  <si>
    <t>1-1</t>
  </si>
  <si>
    <t>21-14,19-21</t>
  </si>
  <si>
    <t>Ruusumaa/Kanerva</t>
  </si>
  <si>
    <t>14-21,21-17</t>
  </si>
  <si>
    <t>Harmanen/Kuronen</t>
  </si>
  <si>
    <t>18-21,21-18,4-15</t>
  </si>
  <si>
    <t>Helsinki</t>
  </si>
  <si>
    <t>Roininen/Peräsalo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</si>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</sst>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66</v>
      </c>
      <c r="C1" s="11" t="s">
        <v>67</v>
      </c>
      <c r="D1" s="11" t="s">
        <v>68</v>
      </c>
      <c r="E1" s="11" t="s">
        <v>69</v>
      </c>
      <c r="F1" s="11" t="s">
        <v>70</v>
      </c>
      <c r="G1" s="11" t="s">
        <v>71</v>
      </c>
      <c r="H1" s="11" t="s">
        <v>72</v>
      </c>
      <c r="I1" s="11" t="s">
        <v>73</v>
      </c>
      <c r="J1" s="11" t="s">
        <v>74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105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105</v>
      </c>
      <c r="B7" s="10">
        <v>2026</v>
      </c>
      <c r="C7" s="10">
        <f t="shared" si="0"/>
        <v>14</v>
      </c>
      <c r="D7" s="10">
        <f>U18_2026!Q2</f>
        <v>3</v>
      </c>
      <c r="E7" s="10">
        <f>U18_2026!R2</f>
        <v>1</v>
      </c>
      <c r="F7" s="10">
        <f>U18_2026!T2</f>
        <v>10</v>
      </c>
      <c r="G7" s="10">
        <f>U18_2026!Q3</f>
        <v>8</v>
      </c>
      <c r="H7" s="10">
        <f>U18_2026!S3</f>
        <v>19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123</v>
      </c>
      <c r="B8" s="12">
        <v>2026</v>
      </c>
      <c r="C8" s="12">
        <f t="shared" si="0"/>
        <v>3</v>
      </c>
      <c r="D8" s="12">
        <f>JNCT_2026!Q3</f>
        <v>0</v>
      </c>
      <c r="E8" s="12">
        <v>0</v>
      </c>
      <c r="F8" s="12">
        <f>JNCT_2026!S2</f>
        <v>3</v>
      </c>
      <c r="G8" s="12">
        <f>JNCT_2026!Q3</f>
        <v>0</v>
      </c>
      <c r="H8" s="12">
        <f>JNCT_2026!R3</f>
        <v>9</v>
      </c>
      <c r="I8" s="12">
        <f>JNCT_2026!Q4</f>
        <v>79</v>
      </c>
      <c r="J8" s="12">
        <f>JNCT_2026!R4</f>
        <v>126</v>
      </c>
    </row>
    <row r="9" spans="1:11" s="6" customFormat="1" x14ac:dyDescent="0.3">
      <c r="A9" s="33" t="s">
        <v>63</v>
      </c>
      <c r="B9" s="33"/>
      <c r="C9" s="33">
        <f>SUM(C2:C8)</f>
        <v>83</v>
      </c>
      <c r="D9" s="33">
        <f t="shared" ref="D9:J9" si="1">SUM(D2:D8)</f>
        <v>26</v>
      </c>
      <c r="E9" s="33">
        <f t="shared" si="1"/>
        <v>3</v>
      </c>
      <c r="F9" s="33">
        <f t="shared" si="1"/>
        <v>54</v>
      </c>
      <c r="G9" s="33">
        <f t="shared" si="1"/>
        <v>77</v>
      </c>
      <c r="H9" s="33">
        <f t="shared" si="1"/>
        <v>131</v>
      </c>
      <c r="I9" s="33">
        <f t="shared" si="1"/>
        <v>2346</v>
      </c>
      <c r="J9" s="33">
        <f t="shared" si="1"/>
        <v>2625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workbookViewId="0">
      <selection activeCell="N11" sqref="N11"/>
    </sheetView>
  </sheetViews>
  <sheetFormatPr defaultRowHeight="14.4" x14ac:dyDescent="0.3"/>
  <cols>
    <col min="1" max="4" width="10.77734375" customWidth="1"/>
    <col min="5" max="5" width="14.5546875" customWidth="1"/>
    <col min="6" max="6" width="14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108</v>
      </c>
      <c r="P1" s="15"/>
      <c r="Q1" s="11" t="s">
        <v>134</v>
      </c>
      <c r="R1" s="11" t="s">
        <v>62</v>
      </c>
      <c r="S1" s="11" t="s">
        <v>63</v>
      </c>
    </row>
    <row r="2" spans="1:19" ht="43.2" x14ac:dyDescent="0.3">
      <c r="A2" s="12" t="s">
        <v>123</v>
      </c>
      <c r="B2" s="16">
        <v>46200</v>
      </c>
      <c r="C2" s="12" t="s">
        <v>52</v>
      </c>
      <c r="D2" s="12" t="s">
        <v>124</v>
      </c>
      <c r="E2" s="12" t="s">
        <v>134</v>
      </c>
      <c r="F2" s="12" t="s">
        <v>193</v>
      </c>
      <c r="G2" s="17" t="s">
        <v>15</v>
      </c>
      <c r="H2" s="12" t="s">
        <v>127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119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30" t="s">
        <v>123</v>
      </c>
      <c r="B3" s="32">
        <v>46200</v>
      </c>
      <c r="C3" s="30" t="s">
        <v>52</v>
      </c>
      <c r="D3" s="30" t="s">
        <v>124</v>
      </c>
      <c r="E3" s="30" t="s">
        <v>134</v>
      </c>
      <c r="F3" s="10" t="s">
        <v>194</v>
      </c>
      <c r="G3" s="14" t="s">
        <v>15</v>
      </c>
      <c r="H3" s="10" t="s">
        <v>126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2" t="s">
        <v>123</v>
      </c>
      <c r="B4" s="16">
        <v>46200</v>
      </c>
      <c r="C4" s="12" t="s">
        <v>52</v>
      </c>
      <c r="D4" s="12" t="s">
        <v>124</v>
      </c>
      <c r="E4" s="12" t="s">
        <v>134</v>
      </c>
      <c r="F4" s="12" t="s">
        <v>195</v>
      </c>
      <c r="G4" s="21" t="s">
        <v>15</v>
      </c>
      <c r="H4" s="19" t="s">
        <v>125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64</v>
      </c>
      <c r="Q4" s="12">
        <f>SUM(M2:M4)</f>
        <v>79</v>
      </c>
      <c r="R4" s="12">
        <f>SUM(N2:N4)</f>
        <v>126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79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zoomScaleNormal="100" workbookViewId="0">
      <selection activeCell="H6" sqref="H6"/>
    </sheetView>
  </sheetViews>
  <sheetFormatPr defaultRowHeight="14.4" x14ac:dyDescent="0.3"/>
  <cols>
    <col min="1" max="4" width="10.77734375" customWidth="1"/>
    <col min="5" max="5" width="15.5546875" customWidth="1"/>
    <col min="6" max="6" width="14.6640625" customWidth="1"/>
    <col min="7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108</v>
      </c>
      <c r="P1" s="15"/>
      <c r="Q1" s="11" t="s">
        <v>133</v>
      </c>
      <c r="R1" s="11" t="s">
        <v>120</v>
      </c>
      <c r="S1" s="11" t="s">
        <v>62</v>
      </c>
      <c r="T1" s="11" t="s">
        <v>63</v>
      </c>
    </row>
    <row r="2" spans="1:20" ht="28.8" x14ac:dyDescent="0.3">
      <c r="A2" s="12" t="s">
        <v>105</v>
      </c>
      <c r="B2" s="16">
        <v>46189</v>
      </c>
      <c r="C2" s="12" t="s">
        <v>78</v>
      </c>
      <c r="D2" s="12" t="s">
        <v>10</v>
      </c>
      <c r="E2" s="12" t="s">
        <v>183</v>
      </c>
      <c r="F2" s="12" t="s">
        <v>185</v>
      </c>
      <c r="G2" s="17" t="s">
        <v>15</v>
      </c>
      <c r="H2" s="12" t="s">
        <v>116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119</v>
      </c>
      <c r="Q2" s="12">
        <f>SUM(I2:I20)+SUM(J2:J20)</f>
        <v>3</v>
      </c>
      <c r="R2" s="12">
        <f>SUM(K2:K20)</f>
        <v>1</v>
      </c>
      <c r="S2" s="12">
        <f>SUM(L2:L20)</f>
        <v>6</v>
      </c>
      <c r="T2" s="12">
        <f t="shared" ref="T2:T9" si="0">SUM(Q2:S2)</f>
        <v>10</v>
      </c>
    </row>
    <row r="3" spans="1:20" ht="28.8" x14ac:dyDescent="0.3">
      <c r="A3" s="10" t="s">
        <v>105</v>
      </c>
      <c r="B3" s="32">
        <v>46189</v>
      </c>
      <c r="C3" s="30" t="s">
        <v>78</v>
      </c>
      <c r="D3" s="30" t="s">
        <v>10</v>
      </c>
      <c r="E3" s="30" t="s">
        <v>183</v>
      </c>
      <c r="F3" s="10" t="s">
        <v>186</v>
      </c>
      <c r="G3" s="14" t="s">
        <v>15</v>
      </c>
      <c r="H3" s="10" t="s">
        <v>122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8</v>
      </c>
      <c r="R3" s="30"/>
      <c r="S3" s="30">
        <f>SUM(K2:K20)*1+SUM(L2:L20)*3</f>
        <v>19</v>
      </c>
      <c r="T3" s="30">
        <f t="shared" si="0"/>
        <v>27</v>
      </c>
    </row>
    <row r="4" spans="1:20" ht="28.8" x14ac:dyDescent="0.3">
      <c r="A4" s="19" t="s">
        <v>105</v>
      </c>
      <c r="B4" s="16">
        <v>46189</v>
      </c>
      <c r="C4" s="12" t="s">
        <v>78</v>
      </c>
      <c r="D4" s="12" t="s">
        <v>10</v>
      </c>
      <c r="E4" s="12" t="s">
        <v>183</v>
      </c>
      <c r="F4" s="12" t="s">
        <v>187</v>
      </c>
      <c r="G4" s="21" t="s">
        <v>15</v>
      </c>
      <c r="H4" s="19" t="s">
        <v>121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64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105</v>
      </c>
      <c r="B5" s="32">
        <v>46202</v>
      </c>
      <c r="C5" s="30" t="s">
        <v>128</v>
      </c>
      <c r="D5" s="30" t="s">
        <v>33</v>
      </c>
      <c r="E5" s="30" t="s">
        <v>184</v>
      </c>
      <c r="F5" s="30" t="s">
        <v>188</v>
      </c>
      <c r="G5" s="34" t="s">
        <v>40</v>
      </c>
      <c r="H5" s="30" t="s">
        <v>129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119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105</v>
      </c>
      <c r="B6" s="16">
        <v>46202</v>
      </c>
      <c r="C6" s="12" t="s">
        <v>128</v>
      </c>
      <c r="D6" s="12" t="s">
        <v>33</v>
      </c>
      <c r="E6" s="12" t="s">
        <v>184</v>
      </c>
      <c r="F6" s="12" t="s">
        <v>189</v>
      </c>
      <c r="G6" s="17" t="s">
        <v>17</v>
      </c>
      <c r="H6" s="12" t="s">
        <v>130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5</v>
      </c>
      <c r="R6" s="12"/>
      <c r="S6" s="12">
        <f>SUM(K5:K7)*1+SUM(L5:L7)*3</f>
        <v>4</v>
      </c>
      <c r="T6" s="12">
        <f t="shared" si="0"/>
        <v>9</v>
      </c>
    </row>
    <row r="7" spans="1:20" ht="28.8" x14ac:dyDescent="0.3">
      <c r="A7" s="35" t="s">
        <v>105</v>
      </c>
      <c r="B7" s="32">
        <v>46202</v>
      </c>
      <c r="C7" s="30" t="s">
        <v>128</v>
      </c>
      <c r="D7" s="30" t="s">
        <v>33</v>
      </c>
      <c r="E7" s="30" t="s">
        <v>184</v>
      </c>
      <c r="F7" s="30" t="s">
        <v>190</v>
      </c>
      <c r="G7" s="36" t="s">
        <v>15</v>
      </c>
      <c r="H7" s="37" t="s">
        <v>131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64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105</v>
      </c>
      <c r="B8" s="16">
        <v>46202</v>
      </c>
      <c r="C8" s="12" t="s">
        <v>128</v>
      </c>
      <c r="D8" s="12" t="s">
        <v>33</v>
      </c>
      <c r="E8" s="12" t="s">
        <v>184</v>
      </c>
      <c r="F8" s="12" t="s">
        <v>191</v>
      </c>
      <c r="G8" s="17" t="s">
        <v>17</v>
      </c>
      <c r="H8" s="12" t="s">
        <v>132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4</v>
      </c>
      <c r="R8" s="12"/>
      <c r="S8" s="12">
        <f>SUM(K7:K9)*1+SUM(L7:L9)*3</f>
        <v>3</v>
      </c>
      <c r="T8" s="12">
        <f t="shared" si="0"/>
        <v>7</v>
      </c>
    </row>
    <row r="9" spans="1:20" ht="28.8" x14ac:dyDescent="0.3">
      <c r="A9" s="35" t="s">
        <v>105</v>
      </c>
      <c r="B9" s="32">
        <v>46202</v>
      </c>
      <c r="C9" s="30" t="s">
        <v>128</v>
      </c>
      <c r="D9" s="30" t="s">
        <v>33</v>
      </c>
      <c r="E9" s="30" t="s">
        <v>184</v>
      </c>
      <c r="F9" s="30" t="s">
        <v>168</v>
      </c>
      <c r="G9" s="36" t="s">
        <v>17</v>
      </c>
      <c r="H9" s="35" t="s">
        <v>135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64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105</v>
      </c>
      <c r="B10" s="16">
        <v>46202</v>
      </c>
      <c r="C10" s="12" t="s">
        <v>128</v>
      </c>
      <c r="D10" s="12" t="s">
        <v>33</v>
      </c>
      <c r="E10" s="12" t="s">
        <v>184</v>
      </c>
      <c r="F10" s="12" t="s">
        <v>186</v>
      </c>
      <c r="G10" s="17" t="s">
        <v>15</v>
      </c>
      <c r="H10" s="12" t="s">
        <v>136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105</v>
      </c>
      <c r="B11" s="32">
        <v>46202</v>
      </c>
      <c r="C11" s="30" t="s">
        <v>128</v>
      </c>
      <c r="D11" s="30" t="s">
        <v>33</v>
      </c>
      <c r="E11" s="30" t="s">
        <v>184</v>
      </c>
      <c r="F11" s="30" t="s">
        <v>192</v>
      </c>
      <c r="G11" s="36" t="s">
        <v>15</v>
      </c>
      <c r="H11" s="37" t="s">
        <v>137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x14ac:dyDescent="0.3">
      <c r="A12" s="16"/>
      <c r="B12" s="16"/>
      <c r="C12" s="12"/>
      <c r="D12" s="12"/>
      <c r="E12" s="12"/>
      <c r="F12" s="12"/>
      <c r="G12" s="17"/>
      <c r="H12" s="12"/>
      <c r="I12" s="12"/>
      <c r="J12" s="12"/>
      <c r="K12" s="12"/>
      <c r="L12" s="12"/>
      <c r="M12" s="12"/>
      <c r="N12" s="12"/>
      <c r="O12" s="12"/>
      <c r="P12" s="18"/>
      <c r="Q12" s="12"/>
      <c r="R12" s="12"/>
      <c r="S12" s="12"/>
      <c r="T12" s="12"/>
    </row>
    <row r="13" spans="1:20" x14ac:dyDescent="0.3">
      <c r="A13" s="32"/>
      <c r="B13" s="32"/>
      <c r="C13" s="30"/>
      <c r="D13" s="30"/>
      <c r="E13" s="30"/>
      <c r="F13" s="35"/>
      <c r="G13" s="36"/>
      <c r="H13" s="35"/>
      <c r="I13" s="35"/>
      <c r="J13" s="35"/>
      <c r="K13" s="35"/>
      <c r="L13" s="35"/>
      <c r="M13" s="35"/>
      <c r="N13" s="35"/>
      <c r="O13" s="35"/>
      <c r="P13" s="29"/>
      <c r="Q13" s="30"/>
      <c r="R13" s="30"/>
      <c r="S13" s="30"/>
      <c r="T13" s="30"/>
    </row>
    <row r="14" spans="1:20" x14ac:dyDescent="0.3">
      <c r="B14" s="9"/>
      <c r="E14" s="3"/>
      <c r="G14" s="4"/>
    </row>
    <row r="15" spans="1:20" x14ac:dyDescent="0.3">
      <c r="B15" s="9"/>
      <c r="E15" s="3"/>
      <c r="G15" s="4"/>
    </row>
    <row r="16" spans="1:20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G9" sqref="G9"/>
    </sheetView>
  </sheetViews>
  <sheetFormatPr defaultRowHeight="14.4" x14ac:dyDescent="0.3"/>
  <cols>
    <col min="1" max="4" width="10.77734375" customWidth="1"/>
    <col min="5" max="5" width="11.88671875" customWidth="1"/>
    <col min="6" max="6" width="12.4414062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108</v>
      </c>
      <c r="P1" s="15"/>
      <c r="Q1" s="11" t="s">
        <v>107</v>
      </c>
      <c r="R1" s="11" t="s">
        <v>62</v>
      </c>
      <c r="S1" s="11" t="s">
        <v>63</v>
      </c>
    </row>
    <row r="2" spans="1:19" ht="28.8" x14ac:dyDescent="0.3">
      <c r="A2" s="12" t="s">
        <v>105</v>
      </c>
      <c r="B2" s="16">
        <v>45851</v>
      </c>
      <c r="C2" s="12" t="s">
        <v>22</v>
      </c>
      <c r="D2" s="12" t="s">
        <v>53</v>
      </c>
      <c r="E2" s="12" t="s">
        <v>107</v>
      </c>
      <c r="F2" s="12" t="s">
        <v>180</v>
      </c>
      <c r="G2" s="17" t="s">
        <v>15</v>
      </c>
      <c r="H2" s="12" t="s">
        <v>109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119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105</v>
      </c>
      <c r="B3" s="13">
        <v>45851</v>
      </c>
      <c r="C3" s="10" t="s">
        <v>22</v>
      </c>
      <c r="D3" s="10" t="s">
        <v>53</v>
      </c>
      <c r="E3" s="10" t="s">
        <v>107</v>
      </c>
      <c r="F3" s="10" t="s">
        <v>181</v>
      </c>
      <c r="G3" s="14" t="s">
        <v>15</v>
      </c>
      <c r="H3" s="10" t="s">
        <v>110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105</v>
      </c>
      <c r="B4" s="20">
        <v>45851</v>
      </c>
      <c r="C4" s="19" t="s">
        <v>22</v>
      </c>
      <c r="D4" s="19" t="s">
        <v>53</v>
      </c>
      <c r="E4" s="12" t="s">
        <v>107</v>
      </c>
      <c r="F4" s="12" t="s">
        <v>182</v>
      </c>
      <c r="G4" s="21" t="s">
        <v>15</v>
      </c>
      <c r="H4" s="19" t="s">
        <v>111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64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16" workbookViewId="0">
      <selection activeCell="F6" sqref="F6"/>
    </sheetView>
  </sheetViews>
  <sheetFormatPr defaultRowHeight="14.4" x14ac:dyDescent="0.3"/>
  <cols>
    <col min="1" max="4" width="10.77734375" customWidth="1"/>
    <col min="5" max="5" width="12.77734375" customWidth="1"/>
    <col min="6" max="6" width="11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108</v>
      </c>
      <c r="O1" s="15"/>
      <c r="P1" s="15"/>
      <c r="Q1" s="11" t="s">
        <v>106</v>
      </c>
      <c r="R1" s="11" t="s">
        <v>62</v>
      </c>
      <c r="S1" s="11" t="s">
        <v>63</v>
      </c>
    </row>
    <row r="2" spans="1:19" ht="28.8" x14ac:dyDescent="0.3">
      <c r="A2" s="12" t="s">
        <v>31</v>
      </c>
      <c r="B2" s="16">
        <v>45822</v>
      </c>
      <c r="C2" s="12" t="s">
        <v>52</v>
      </c>
      <c r="D2" s="12" t="s">
        <v>23</v>
      </c>
      <c r="E2" s="12" t="s">
        <v>160</v>
      </c>
      <c r="F2" s="12" t="s">
        <v>161</v>
      </c>
      <c r="G2" s="17" t="s">
        <v>17</v>
      </c>
      <c r="H2" s="12" t="s">
        <v>85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119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52</v>
      </c>
      <c r="D3" s="10" t="s">
        <v>23</v>
      </c>
      <c r="E3" s="10" t="s">
        <v>160</v>
      </c>
      <c r="F3" s="10" t="s">
        <v>162</v>
      </c>
      <c r="G3" s="14" t="s">
        <v>29</v>
      </c>
      <c r="H3" s="10" t="s">
        <v>86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52</v>
      </c>
      <c r="D4" s="12" t="s">
        <v>23</v>
      </c>
      <c r="E4" s="12" t="s">
        <v>160</v>
      </c>
      <c r="F4" s="12" t="s">
        <v>163</v>
      </c>
      <c r="G4" s="17" t="s">
        <v>15</v>
      </c>
      <c r="H4" s="12" t="s">
        <v>87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64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88</v>
      </c>
      <c r="D5" s="10" t="s">
        <v>10</v>
      </c>
      <c r="E5" s="10" t="s">
        <v>160</v>
      </c>
      <c r="F5" s="10" t="s">
        <v>161</v>
      </c>
      <c r="G5" s="14" t="s">
        <v>17</v>
      </c>
      <c r="H5" s="22" t="s">
        <v>89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88</v>
      </c>
      <c r="D6" s="12" t="s">
        <v>10</v>
      </c>
      <c r="E6" s="12" t="s">
        <v>160</v>
      </c>
      <c r="F6" s="24" t="s">
        <v>164</v>
      </c>
      <c r="G6" s="17" t="s">
        <v>15</v>
      </c>
      <c r="H6" s="24" t="s">
        <v>90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88</v>
      </c>
      <c r="D7" s="10" t="s">
        <v>10</v>
      </c>
      <c r="E7" s="10" t="s">
        <v>160</v>
      </c>
      <c r="F7" s="22" t="s">
        <v>165</v>
      </c>
      <c r="G7" s="14" t="s">
        <v>17</v>
      </c>
      <c r="H7" s="22" t="s">
        <v>91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43.2" x14ac:dyDescent="0.3">
      <c r="A8" s="12" t="s">
        <v>31</v>
      </c>
      <c r="B8" s="16">
        <v>45827</v>
      </c>
      <c r="C8" s="12" t="s">
        <v>88</v>
      </c>
      <c r="D8" s="12" t="s">
        <v>10</v>
      </c>
      <c r="E8" s="12" t="s">
        <v>160</v>
      </c>
      <c r="F8" s="12" t="s">
        <v>166</v>
      </c>
      <c r="G8" s="17" t="s">
        <v>15</v>
      </c>
      <c r="H8" s="24" t="s">
        <v>92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88</v>
      </c>
      <c r="D9" s="10" t="s">
        <v>93</v>
      </c>
      <c r="E9" s="10" t="s">
        <v>160</v>
      </c>
      <c r="F9" s="10" t="s">
        <v>167</v>
      </c>
      <c r="G9" s="14" t="s">
        <v>15</v>
      </c>
      <c r="H9" s="10" t="s">
        <v>95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88</v>
      </c>
      <c r="D10" s="12" t="s">
        <v>93</v>
      </c>
      <c r="E10" s="12" t="s">
        <v>160</v>
      </c>
      <c r="F10" s="12" t="s">
        <v>168</v>
      </c>
      <c r="G10" s="17" t="s">
        <v>17</v>
      </c>
      <c r="H10" s="12" t="s">
        <v>96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88</v>
      </c>
      <c r="D11" s="10" t="s">
        <v>93</v>
      </c>
      <c r="E11" s="10" t="s">
        <v>160</v>
      </c>
      <c r="F11" s="10" t="s">
        <v>169</v>
      </c>
      <c r="G11" s="14" t="s">
        <v>17</v>
      </c>
      <c r="H11" s="10" t="s">
        <v>97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88</v>
      </c>
      <c r="D12" s="12" t="s">
        <v>93</v>
      </c>
      <c r="E12" s="12" t="s">
        <v>160</v>
      </c>
      <c r="F12" s="12" t="s">
        <v>170</v>
      </c>
      <c r="G12" s="17" t="s">
        <v>15</v>
      </c>
      <c r="H12" s="12" t="s">
        <v>98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78</v>
      </c>
      <c r="D13" s="10" t="s">
        <v>33</v>
      </c>
      <c r="E13" s="10" t="s">
        <v>134</v>
      </c>
      <c r="F13" s="10" t="s">
        <v>168</v>
      </c>
      <c r="G13" s="14" t="s">
        <v>17</v>
      </c>
      <c r="H13" s="10" t="s">
        <v>99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43.2" x14ac:dyDescent="0.3">
      <c r="A14" s="12" t="s">
        <v>31</v>
      </c>
      <c r="B14" s="25">
        <v>45839</v>
      </c>
      <c r="C14" s="12" t="s">
        <v>78</v>
      </c>
      <c r="D14" s="12" t="s">
        <v>33</v>
      </c>
      <c r="E14" s="12" t="s">
        <v>134</v>
      </c>
      <c r="F14" s="12" t="s">
        <v>171</v>
      </c>
      <c r="G14" s="17" t="s">
        <v>15</v>
      </c>
      <c r="H14" s="12" t="s">
        <v>100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78</v>
      </c>
      <c r="D15" s="10" t="s">
        <v>33</v>
      </c>
      <c r="E15" s="10" t="s">
        <v>134</v>
      </c>
      <c r="F15" s="10" t="s">
        <v>172</v>
      </c>
      <c r="G15" s="14" t="s">
        <v>17</v>
      </c>
      <c r="H15" s="10" t="s">
        <v>101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78</v>
      </c>
      <c r="D16" s="12" t="s">
        <v>33</v>
      </c>
      <c r="E16" s="12" t="s">
        <v>134</v>
      </c>
      <c r="F16" s="12" t="s">
        <v>173</v>
      </c>
      <c r="G16" s="17" t="s">
        <v>15</v>
      </c>
      <c r="H16" s="12" t="s">
        <v>35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46</v>
      </c>
      <c r="E17" s="10" t="s">
        <v>84</v>
      </c>
      <c r="F17" s="10" t="s">
        <v>174</v>
      </c>
      <c r="G17" s="14" t="s">
        <v>17</v>
      </c>
      <c r="H17" s="10" t="s">
        <v>102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46</v>
      </c>
      <c r="E18" s="12" t="s">
        <v>160</v>
      </c>
      <c r="F18" s="12" t="s">
        <v>175</v>
      </c>
      <c r="G18" s="17" t="s">
        <v>15</v>
      </c>
      <c r="H18" s="12" t="s">
        <v>103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46</v>
      </c>
      <c r="E19" s="10" t="s">
        <v>160</v>
      </c>
      <c r="F19" s="10" t="s">
        <v>165</v>
      </c>
      <c r="G19" s="14" t="s">
        <v>17</v>
      </c>
      <c r="H19" s="10" t="s">
        <v>102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46</v>
      </c>
      <c r="E20" s="12" t="s">
        <v>160</v>
      </c>
      <c r="F20" s="12" t="s">
        <v>167</v>
      </c>
      <c r="G20" s="17" t="s">
        <v>15</v>
      </c>
      <c r="H20" s="12" t="s">
        <v>104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43.2" x14ac:dyDescent="0.3">
      <c r="A21" s="10" t="s">
        <v>31</v>
      </c>
      <c r="B21" s="23">
        <v>45868</v>
      </c>
      <c r="C21" s="10" t="s">
        <v>9</v>
      </c>
      <c r="D21" s="10" t="s">
        <v>112</v>
      </c>
      <c r="E21" s="10" t="s">
        <v>84</v>
      </c>
      <c r="F21" s="10" t="s">
        <v>171</v>
      </c>
      <c r="G21" s="14" t="s">
        <v>15</v>
      </c>
      <c r="H21" s="10" t="s">
        <v>115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112</v>
      </c>
      <c r="E22" s="12" t="s">
        <v>160</v>
      </c>
      <c r="F22" s="12" t="s">
        <v>94</v>
      </c>
      <c r="G22" s="17" t="s">
        <v>15</v>
      </c>
      <c r="H22" s="12" t="s">
        <v>114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112</v>
      </c>
      <c r="E23" s="10" t="s">
        <v>160</v>
      </c>
      <c r="F23" s="10" t="s">
        <v>113</v>
      </c>
      <c r="G23" s="14" t="s">
        <v>15</v>
      </c>
      <c r="H23" s="10" t="s">
        <v>116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112</v>
      </c>
      <c r="E24" s="12" t="s">
        <v>160</v>
      </c>
      <c r="F24" s="12" t="s">
        <v>176</v>
      </c>
      <c r="G24" s="17" t="s">
        <v>17</v>
      </c>
      <c r="H24" s="12" t="s">
        <v>117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52</v>
      </c>
      <c r="D25" s="10" t="s">
        <v>57</v>
      </c>
      <c r="E25" s="10" t="s">
        <v>84</v>
      </c>
      <c r="F25" s="10" t="s">
        <v>174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52</v>
      </c>
      <c r="D26" s="12" t="s">
        <v>57</v>
      </c>
      <c r="E26" s="12" t="s">
        <v>160</v>
      </c>
      <c r="F26" s="12" t="s">
        <v>177</v>
      </c>
      <c r="G26" s="17" t="s">
        <v>15</v>
      </c>
      <c r="H26" s="12" t="s">
        <v>109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52</v>
      </c>
      <c r="D27" s="10" t="s">
        <v>57</v>
      </c>
      <c r="E27" s="10" t="s">
        <v>160</v>
      </c>
      <c r="F27" s="10" t="s">
        <v>178</v>
      </c>
      <c r="G27" s="14" t="s">
        <v>17</v>
      </c>
      <c r="H27" s="10" t="s">
        <v>118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52</v>
      </c>
      <c r="D28" s="12" t="s">
        <v>57</v>
      </c>
      <c r="E28" s="12" t="s">
        <v>160</v>
      </c>
      <c r="F28" s="12" t="s">
        <v>179</v>
      </c>
      <c r="G28" s="17" t="s">
        <v>15</v>
      </c>
      <c r="H28" s="12" t="s">
        <v>60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G8" sqref="G8"/>
    </sheetView>
  </sheetViews>
  <sheetFormatPr defaultRowHeight="14.4" x14ac:dyDescent="0.3"/>
  <cols>
    <col min="1" max="4" width="10.77734375" customWidth="1"/>
    <col min="5" max="5" width="13.5546875" customWidth="1"/>
    <col min="6" max="6" width="12.4414062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108</v>
      </c>
      <c r="O1" s="15"/>
      <c r="P1" s="15"/>
      <c r="Q1" s="11" t="s">
        <v>65</v>
      </c>
      <c r="R1" s="11" t="s">
        <v>62</v>
      </c>
      <c r="S1" s="11" t="s">
        <v>63</v>
      </c>
    </row>
    <row r="2" spans="1:19" ht="28.8" x14ac:dyDescent="0.3">
      <c r="A2" s="12" t="s">
        <v>31</v>
      </c>
      <c r="B2" s="16">
        <v>45423</v>
      </c>
      <c r="C2" s="12" t="s">
        <v>52</v>
      </c>
      <c r="D2" s="12" t="s">
        <v>57</v>
      </c>
      <c r="E2" s="12" t="s">
        <v>65</v>
      </c>
      <c r="F2" s="12" t="s">
        <v>150</v>
      </c>
      <c r="G2" s="17" t="s">
        <v>15</v>
      </c>
      <c r="H2" s="12" t="s">
        <v>58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119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52</v>
      </c>
      <c r="D3" s="10" t="s">
        <v>57</v>
      </c>
      <c r="E3" s="10" t="s">
        <v>65</v>
      </c>
      <c r="F3" s="10" t="s">
        <v>151</v>
      </c>
      <c r="G3" s="14" t="s">
        <v>15</v>
      </c>
      <c r="H3" s="10" t="s">
        <v>59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52</v>
      </c>
      <c r="D4" s="12" t="s">
        <v>57</v>
      </c>
      <c r="E4" s="12" t="s">
        <v>65</v>
      </c>
      <c r="F4" s="12" t="s">
        <v>152</v>
      </c>
      <c r="G4" s="17" t="s">
        <v>15</v>
      </c>
      <c r="H4" s="12" t="s">
        <v>60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64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52</v>
      </c>
      <c r="D5" s="10" t="s">
        <v>23</v>
      </c>
      <c r="E5" s="10" t="s">
        <v>65</v>
      </c>
      <c r="F5" s="22" t="s">
        <v>153</v>
      </c>
      <c r="G5" s="14" t="s">
        <v>15</v>
      </c>
      <c r="H5" s="22" t="s">
        <v>75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52</v>
      </c>
      <c r="D6" s="12" t="s">
        <v>23</v>
      </c>
      <c r="E6" s="12" t="s">
        <v>65</v>
      </c>
      <c r="F6" s="24" t="s">
        <v>154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52</v>
      </c>
      <c r="D7" s="10" t="s">
        <v>23</v>
      </c>
      <c r="E7" s="10" t="s">
        <v>65</v>
      </c>
      <c r="F7" s="22" t="s">
        <v>155</v>
      </c>
      <c r="G7" s="14" t="s">
        <v>29</v>
      </c>
      <c r="H7" s="22" t="s">
        <v>76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52</v>
      </c>
      <c r="D8" s="12" t="s">
        <v>23</v>
      </c>
      <c r="E8" s="12" t="s">
        <v>65</v>
      </c>
      <c r="F8" s="12" t="s">
        <v>152</v>
      </c>
      <c r="G8" s="17" t="s">
        <v>15</v>
      </c>
      <c r="H8" s="24" t="s">
        <v>77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78</v>
      </c>
      <c r="D9" s="10" t="s">
        <v>10</v>
      </c>
      <c r="E9" s="10" t="s">
        <v>65</v>
      </c>
      <c r="F9" s="10" t="s">
        <v>156</v>
      </c>
      <c r="G9" s="14" t="s">
        <v>15</v>
      </c>
      <c r="H9" s="10" t="s">
        <v>79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78</v>
      </c>
      <c r="D10" s="12" t="s">
        <v>10</v>
      </c>
      <c r="E10" s="12" t="s">
        <v>65</v>
      </c>
      <c r="F10" s="12" t="s">
        <v>157</v>
      </c>
      <c r="G10" s="17" t="s">
        <v>15</v>
      </c>
      <c r="H10" s="12" t="s">
        <v>80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78</v>
      </c>
      <c r="D11" s="10" t="s">
        <v>10</v>
      </c>
      <c r="E11" s="10" t="s">
        <v>65</v>
      </c>
      <c r="F11" s="10" t="s">
        <v>154</v>
      </c>
      <c r="G11" s="14" t="s">
        <v>15</v>
      </c>
      <c r="H11" s="10" t="s">
        <v>81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43.2" x14ac:dyDescent="0.3">
      <c r="A12" s="12" t="s">
        <v>31</v>
      </c>
      <c r="B12" s="25">
        <v>45461</v>
      </c>
      <c r="C12" s="12" t="s">
        <v>78</v>
      </c>
      <c r="D12" s="12" t="s">
        <v>10</v>
      </c>
      <c r="E12" s="12" t="s">
        <v>65</v>
      </c>
      <c r="F12" s="12" t="s">
        <v>158</v>
      </c>
      <c r="G12" s="17" t="s">
        <v>17</v>
      </c>
      <c r="H12" s="12" t="s">
        <v>82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78</v>
      </c>
      <c r="D13" s="10" t="s">
        <v>10</v>
      </c>
      <c r="E13" s="10" t="s">
        <v>65</v>
      </c>
      <c r="F13" s="10" t="s">
        <v>159</v>
      </c>
      <c r="G13" s="14" t="s">
        <v>15</v>
      </c>
      <c r="H13" s="10" t="s">
        <v>83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14" sqref="F14"/>
    </sheetView>
  </sheetViews>
  <sheetFormatPr defaultRowHeight="14.4" x14ac:dyDescent="0.3"/>
  <cols>
    <col min="1" max="4" width="10.77734375" customWidth="1"/>
    <col min="5" max="5" width="12.5546875" customWidth="1"/>
    <col min="6" max="6" width="12.4414062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108</v>
      </c>
      <c r="O1" s="15"/>
      <c r="P1" s="11" t="s">
        <v>36</v>
      </c>
      <c r="Q1" s="11" t="s">
        <v>120</v>
      </c>
      <c r="R1" s="11" t="s">
        <v>62</v>
      </c>
      <c r="S1" s="11" t="s">
        <v>63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36</v>
      </c>
      <c r="F2" s="12" t="s">
        <v>34</v>
      </c>
      <c r="G2" s="12" t="s">
        <v>15</v>
      </c>
      <c r="H2" s="12" t="s">
        <v>35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119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36</v>
      </c>
      <c r="F3" s="10" t="s">
        <v>37</v>
      </c>
      <c r="G3" s="10" t="s">
        <v>15</v>
      </c>
      <c r="H3" s="10" t="s">
        <v>38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36</v>
      </c>
      <c r="F4" s="12" t="s">
        <v>39</v>
      </c>
      <c r="G4" s="17" t="s">
        <v>40</v>
      </c>
      <c r="H4" s="12" t="s">
        <v>41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64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36</v>
      </c>
      <c r="F5" s="10" t="s">
        <v>42</v>
      </c>
      <c r="G5" s="14" t="s">
        <v>40</v>
      </c>
      <c r="H5" s="10" t="s">
        <v>43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36</v>
      </c>
      <c r="F6" s="12" t="s">
        <v>44</v>
      </c>
      <c r="G6" s="17" t="s">
        <v>29</v>
      </c>
      <c r="H6" s="12" t="s">
        <v>45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46</v>
      </c>
      <c r="E7" s="10" t="s">
        <v>36</v>
      </c>
      <c r="F7" s="10" t="s">
        <v>47</v>
      </c>
      <c r="G7" s="14" t="s">
        <v>15</v>
      </c>
      <c r="H7" s="10" t="s">
        <v>48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46</v>
      </c>
      <c r="E8" s="12" t="s">
        <v>36</v>
      </c>
      <c r="F8" s="12" t="s">
        <v>149</v>
      </c>
      <c r="G8" s="17" t="s">
        <v>15</v>
      </c>
      <c r="H8" s="17" t="s">
        <v>49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46</v>
      </c>
      <c r="E9" s="10" t="s">
        <v>36</v>
      </c>
      <c r="F9" s="10" t="s">
        <v>148</v>
      </c>
      <c r="G9" s="14" t="s">
        <v>17</v>
      </c>
      <c r="H9" s="10" t="s">
        <v>50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46</v>
      </c>
      <c r="E10" s="12" t="s">
        <v>36</v>
      </c>
      <c r="F10" s="12" t="s">
        <v>147</v>
      </c>
      <c r="G10" s="17" t="s">
        <v>15</v>
      </c>
      <c r="H10" s="12" t="s">
        <v>51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52</v>
      </c>
      <c r="D11" s="10" t="s">
        <v>53</v>
      </c>
      <c r="E11" s="10" t="s">
        <v>36</v>
      </c>
      <c r="F11" s="14" t="s">
        <v>146</v>
      </c>
      <c r="G11" s="14" t="s">
        <v>15</v>
      </c>
      <c r="H11" s="10" t="s">
        <v>54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52</v>
      </c>
      <c r="D12" s="12" t="s">
        <v>53</v>
      </c>
      <c r="E12" s="12" t="s">
        <v>36</v>
      </c>
      <c r="F12" s="17" t="s">
        <v>145</v>
      </c>
      <c r="G12" s="17" t="s">
        <v>15</v>
      </c>
      <c r="H12" s="12" t="s">
        <v>55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52</v>
      </c>
      <c r="D13" s="10" t="s">
        <v>53</v>
      </c>
      <c r="E13" s="10" t="s">
        <v>36</v>
      </c>
      <c r="F13" s="14" t="s">
        <v>144</v>
      </c>
      <c r="G13" s="14" t="s">
        <v>15</v>
      </c>
      <c r="H13" s="10" t="s">
        <v>56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tabSelected="1" topLeftCell="A2" workbookViewId="0">
      <selection activeCell="F11" sqref="F11"/>
    </sheetView>
  </sheetViews>
  <sheetFormatPr defaultRowHeight="14.4" x14ac:dyDescent="0.3"/>
  <cols>
    <col min="1" max="4" width="10.77734375" customWidth="1"/>
    <col min="5" max="5" width="12.88671875" customWidth="1"/>
    <col min="6" max="6" width="12.218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108</v>
      </c>
      <c r="O1" s="11"/>
      <c r="P1" s="11" t="s">
        <v>61</v>
      </c>
      <c r="Q1" s="11" t="s">
        <v>62</v>
      </c>
      <c r="R1" s="11" t="s">
        <v>63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119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140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142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64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138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139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140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141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142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43.2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143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139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140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2026-06-30T09:41:58Z</dcterms:modified>
</cp:coreProperties>
</file>
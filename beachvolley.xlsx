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2D2DB93-00A8-437F-A424-EA12CF8AEC28}" xr6:coauthVersionLast="47" xr6:coauthVersionMax="47" xr10:uidLastSave="{00000000-0000-0000-0000-000000000000}"/>
  <bookViews>
    <workbookView xWindow="0" yWindow="876" windowWidth="23040" windowHeight="12804" activeTab="1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4" l="1"/>
  <c r="E9" i="4"/>
  <c r="D9" i="4"/>
  <c r="G8" i="4"/>
  <c r="D8" i="4"/>
  <c r="N23" i="8"/>
  <c r="M23" i="8"/>
  <c r="L23" i="8"/>
  <c r="K23" i="8"/>
  <c r="J23" i="8"/>
  <c r="I23" i="8"/>
  <c r="R4" i="8"/>
  <c r="J8" i="4" s="1"/>
  <c r="J9" i="4" s="1"/>
  <c r="Q4" i="8"/>
  <c r="R3" i="8"/>
  <c r="H8" i="4" s="1"/>
  <c r="H9" i="4" s="1"/>
  <c r="Q3" i="8"/>
  <c r="R2" i="8"/>
  <c r="Q2" i="8"/>
  <c r="J7" i="4"/>
  <c r="I7" i="4"/>
  <c r="H7" i="4"/>
  <c r="G7" i="4"/>
  <c r="F7" i="4"/>
  <c r="D7" i="4"/>
  <c r="C7" i="4" s="1"/>
  <c r="N23" i="7"/>
  <c r="M23" i="7"/>
  <c r="L23" i="7"/>
  <c r="K23" i="7"/>
  <c r="J23" i="7"/>
  <c r="I23" i="7"/>
  <c r="R4" i="7"/>
  <c r="Q4" i="7"/>
  <c r="R3" i="7"/>
  <c r="Q3" i="7"/>
  <c r="S3" i="7" s="1"/>
  <c r="R2" i="7"/>
  <c r="Q2" i="7"/>
  <c r="S2" i="7" s="1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N23" i="6"/>
  <c r="M23" i="6"/>
  <c r="L23" i="6"/>
  <c r="K23" i="6"/>
  <c r="J23" i="6"/>
  <c r="I23" i="6"/>
  <c r="E4" i="4"/>
  <c r="M23" i="3"/>
  <c r="L23" i="3"/>
  <c r="K23" i="3"/>
  <c r="J23" i="3"/>
  <c r="I23" i="3"/>
  <c r="E2" i="4"/>
  <c r="G4" i="4"/>
  <c r="S4" i="8" l="1"/>
  <c r="I8" i="4"/>
  <c r="I9" i="4" s="1"/>
  <c r="S3" i="8"/>
  <c r="S2" i="8"/>
  <c r="F8" i="4" s="1"/>
  <c r="S4" i="7"/>
  <c r="C3" i="4"/>
  <c r="S4" i="2"/>
  <c r="S2" i="2"/>
  <c r="S3" i="2"/>
  <c r="S3" i="5"/>
  <c r="C2" i="4"/>
  <c r="C6" i="4"/>
  <c r="S2" i="6"/>
  <c r="S2" i="5"/>
  <c r="C5" i="4"/>
  <c r="C4" i="4"/>
  <c r="S2" i="3"/>
  <c r="C8" i="4" l="1"/>
  <c r="C9" i="4" s="1"/>
  <c r="F9" i="4"/>
</calcChain>
</file>

<file path=xl/sharedStrings.xml><?xml version="1.0" encoding="utf-8"?>
<sst xmlns="http://schemas.openxmlformats.org/spreadsheetml/2006/main" count="628" uniqueCount="180">
  <si>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</si>
  <si>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</si>
  <si>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</si>
  <si>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</si>
  <si>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</si>
  <si>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</si>
  <si>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</si>
  <si>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</si>
  <si>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</si>
  <si>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</si>
  <si>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</si>
  <si>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</si>
  <si>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</si>
  <si>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</si>
  <si>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</si>
  <si>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Esko/Kerman</t>
  </si>
  <si>
    <t>0-2</t>
  </si>
  <si>
    <t>13-21,18-21</t>
  </si>
  <si>
    <t>Kuusipalo/Isid</t>
  </si>
  <si>
    <t>2-0</t>
  </si>
  <si>
    <t>21-5,21-4</t>
  </si>
  <si>
    <t>Mattila/Laurila</t>
  </si>
  <si>
    <t>21-12,21-8</t>
  </si>
  <si>
    <t>Vesanen/Rainio</t>
  </si>
  <si>
    <t>17-21,21-19,15-10</t>
  </si>
  <si>
    <t>10-21,14-21</t>
  </si>
  <si>
    <t>Su</t>
  </si>
  <si>
    <t>Eura</t>
  </si>
  <si>
    <t>Laukkanen/Sieppi</t>
  </si>
  <si>
    <t>21-3,21-11</t>
  </si>
  <si>
    <t>21-7,21-8</t>
  </si>
  <si>
    <t>21-18,21-14</t>
  </si>
  <si>
    <t>Virkunen/Schreibmaier</t>
  </si>
  <si>
    <t>21-7,21-2</t>
  </si>
  <si>
    <t>21-7,21-14</t>
  </si>
  <si>
    <t>1-2</t>
  </si>
  <si>
    <t>17-21,21-16,13-15</t>
  </si>
  <si>
    <t>U16</t>
  </si>
  <si>
    <t>Pe</t>
  </si>
  <si>
    <t>Jyväskylä</t>
  </si>
  <si>
    <t>Viljamaa/Kuikka</t>
  </si>
  <si>
    <t>8-21,12-21</t>
  </si>
  <si>
    <t>Katoperä/
Huttunen</t>
  </si>
  <si>
    <t>Poikonen/Saloranta</t>
  </si>
  <si>
    <t>16-21,8-21</t>
  </si>
  <si>
    <t>Nevala/Hietanen</t>
  </si>
  <si>
    <t>1-1</t>
  </si>
  <si>
    <t>21-14,19-21</t>
  </si>
  <si>
    <t>Ruusumaa/Kanerva</t>
  </si>
  <si>
    <t>14-21,21-17</t>
  </si>
  <si>
    <t>Harmanen/Kuronen</t>
  </si>
  <si>
    <t>18-21,21-18,4-15</t>
  </si>
  <si>
    <t>Helsinki</t>
  </si>
  <si>
    <t>Roininen/Peräsalo</t>
  </si>
  <si>
    <t>12-21,9-21</t>
  </si>
  <si>
    <t>Marttila/Välimäki</t>
  </si>
  <si>
    <t>10-21,5-21</t>
  </si>
  <si>
    <t>Salmi/Lietsala</t>
  </si>
  <si>
    <t>21-14,21-19</t>
  </si>
  <si>
    <t>Nevala/Virtanen</t>
  </si>
  <si>
    <t>17-21,12-21</t>
  </si>
  <si>
    <t>La</t>
  </si>
  <si>
    <t>Vaasa</t>
  </si>
  <si>
    <t>Ahonen/Järvi-Laturi</t>
  </si>
  <si>
    <t>4-21,10-21</t>
  </si>
  <si>
    <t>Välimäki/Roininen</t>
  </si>
  <si>
    <t>7-21,14-21</t>
  </si>
  <si>
    <t>Kuokkanen/Hiitti</t>
  </si>
  <si>
    <t>10-21,13-21</t>
  </si>
  <si>
    <t>Vantaa</t>
  </si>
  <si>
    <t>Katoperä/Sieppi</t>
  </si>
  <si>
    <t>Mattila/Talvia</t>
  </si>
  <si>
    <t>15-21,16-21</t>
  </si>
  <si>
    <t>Oivanen/Holm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</si>
  <si>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</si>
  <si>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</si>
  <si>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</si>
  <si>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</si>
  <si>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</si>
  <si>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</si>
  <si>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</si>
  <si>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</si>
  <si>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</si>
  <si>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</si>
  <si>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</si>
  <si>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</si>
  <si>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</si>
  <si>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</si>
  <si>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</si>
  <si>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</si>
  <si>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Pöyhönen/Peltonen</t>
  </si>
  <si>
    <t>15-21,18-21</t>
  </si>
  <si>
    <t>Kerman/Nykänen</t>
  </si>
  <si>
    <t>Nieminen/Rapeli</t>
  </si>
  <si>
    <t>21-18,17-21,12-15</t>
  </si>
  <si>
    <t>7-21,5-21</t>
  </si>
  <si>
    <t>Ti</t>
  </si>
  <si>
    <t>Riponiemi/Laine</t>
  </si>
  <si>
    <t>17-21,14-21</t>
  </si>
  <si>
    <t>Heimala/Peltonen</t>
  </si>
  <si>
    <t>11-21,21-23</t>
  </si>
  <si>
    <t>Huhta/Kumpulainen</t>
  </si>
  <si>
    <t>4-21,8-21</t>
  </si>
  <si>
    <t>22-20,21-15</t>
  </si>
  <si>
    <t>Rainio/Vesanen</t>
  </si>
  <si>
    <t>14-21,15-21</t>
  </si>
  <si>
    <t>Katoperä/Paloniemi</t>
  </si>
  <si>
    <t>Luoto/Hakamäki</t>
  </si>
  <si>
    <t>21-6,21,3</t>
  </si>
  <si>
    <t>18-21,21-17,13-15</t>
  </si>
  <si>
    <t>Oivanen/Nurminen</t>
  </si>
  <si>
    <t>14-21, 17-21</t>
  </si>
  <si>
    <t>To</t>
  </si>
  <si>
    <t>Temisevä/Ylitalo</t>
  </si>
  <si>
    <t>21-3,21-6</t>
  </si>
  <si>
    <t>Rainio/Välimäki</t>
  </si>
  <si>
    <t>17-21,18-21</t>
  </si>
  <si>
    <t>Jokinen/Mäenpää</t>
  </si>
  <si>
    <t>21-13,21-13</t>
  </si>
  <si>
    <t>Peltonen/Parkkisenniemi</t>
  </si>
  <si>
    <t>8-21,15-21</t>
  </si>
  <si>
    <t>Hanko</t>
  </si>
  <si>
    <t>Uusitalo/Peippo</t>
  </si>
  <si>
    <t>15-21,14-21</t>
  </si>
  <si>
    <t>Hakala/Peippo</t>
  </si>
  <si>
    <t>21-10,21-16</t>
  </si>
  <si>
    <t>Rajala/Tuunainen</t>
  </si>
  <si>
    <t>21-18,28-26</t>
  </si>
  <si>
    <t>Heimala/Lehiö</t>
  </si>
  <si>
    <t>16-21,20-22</t>
  </si>
  <si>
    <t>Katoperä/Antola</t>
  </si>
  <si>
    <t>Välimäki/Vuorentausta</t>
  </si>
  <si>
    <t>Antikainen/Puttonen</t>
  </si>
  <si>
    <t>21-14,21-13</t>
  </si>
  <si>
    <t>8-21,14-21</t>
  </si>
  <si>
    <t>21-16,21-16</t>
  </si>
  <si>
    <t>Sieppi/Syri</t>
  </si>
  <si>
    <t>Nurmi/Keränen</t>
  </si>
  <si>
    <t>Kerman/Peltonen</t>
  </si>
  <si>
    <t>21-12,21-9</t>
  </si>
  <si>
    <t>14-21,16-21</t>
  </si>
  <si>
    <t>18-21,8-21</t>
  </si>
  <si>
    <t>U18</t>
  </si>
  <si>
    <t>Katoperä/
Paloniemi/Antola</t>
  </si>
  <si>
    <t>Katoperä/
Katoperä</t>
  </si>
  <si>
    <t>Katoperä/Katoperä</t>
  </si>
  <si>
    <t>sijoitus</t>
  </si>
  <si>
    <t>Piispanen/Vilokkinen</t>
  </si>
  <si>
    <t>17-21,17-21</t>
  </si>
  <si>
    <t>Ruuska/Nauha</t>
  </si>
  <si>
    <t>7-21,10-21</t>
  </si>
  <si>
    <t>Heikkilä/Kaustinen</t>
  </si>
  <si>
    <t>10-21,11-21</t>
  </si>
  <si>
    <t>Turku</t>
  </si>
  <si>
    <t>Antila/Tuunainen</t>
  </si>
  <si>
    <t>Rapeli/Vilenius</t>
  </si>
  <si>
    <t>12-21,18-21</t>
  </si>
  <si>
    <t>12-21,19-21</t>
  </si>
  <si>
    <t>14-21,20-22</t>
  </si>
  <si>
    <t>21-18.21-19</t>
  </si>
  <si>
    <t>Heimala/Kerman</t>
  </si>
  <si>
    <t>Hakamäki/Luoto</t>
  </si>
  <si>
    <t>21-4,21-8</t>
  </si>
  <si>
    <t>Peippo/Uusitalo</t>
  </si>
  <si>
    <t>voitot</t>
  </si>
  <si>
    <t>tasapeli</t>
  </si>
  <si>
    <t>Katoperä/Setälä</t>
  </si>
  <si>
    <t>Välimäki/Tuunainen</t>
  </si>
  <si>
    <t>18-21,6-21</t>
  </si>
  <si>
    <t>Sieppi/Antola</t>
  </si>
  <si>
    <t>Vilokkinen/Lassila</t>
  </si>
  <si>
    <t>10-21,10-21</t>
  </si>
  <si>
    <t>JNCT</t>
  </si>
  <si>
    <t>Hämeenlinna</t>
  </si>
  <si>
    <t>Rytkönen/Delgado Florez</t>
  </si>
  <si>
    <t>Heikkilä/Wickman</t>
  </si>
  <si>
    <t>Seppänen/Mäkinen</t>
  </si>
  <si>
    <t>13-21,15-21</t>
  </si>
  <si>
    <t>15-21,11-21</t>
  </si>
  <si>
    <t>11-21,14-21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</si>
</sst>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C10" sqref="C10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  <c r="J1" s="11" t="s">
        <v>89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37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37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37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142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142</v>
      </c>
      <c r="B7" s="10">
        <v>2026</v>
      </c>
      <c r="C7" s="10">
        <f t="shared" si="0"/>
        <v>3</v>
      </c>
      <c r="D7" s="10">
        <f>U18_2026!Q2</f>
        <v>0</v>
      </c>
      <c r="E7" s="10">
        <v>0</v>
      </c>
      <c r="F7" s="10">
        <f>U18_2026!S2</f>
        <v>3</v>
      </c>
      <c r="G7" s="10">
        <f>U18_2026!Q3</f>
        <v>0</v>
      </c>
      <c r="H7" s="10">
        <f>U18_2026!R3</f>
        <v>9</v>
      </c>
      <c r="I7" s="10">
        <f>U18_2026!Q4</f>
        <v>78</v>
      </c>
      <c r="J7" s="10">
        <f>U18_2026!R4</f>
        <v>127</v>
      </c>
    </row>
    <row r="8" spans="1:11" x14ac:dyDescent="0.3">
      <c r="A8" s="12" t="s">
        <v>172</v>
      </c>
      <c r="B8" s="12">
        <v>2026</v>
      </c>
      <c r="C8" s="12">
        <f t="shared" si="0"/>
        <v>3</v>
      </c>
      <c r="D8" s="12">
        <f>JNCT_2026!Q3</f>
        <v>0</v>
      </c>
      <c r="E8" s="12">
        <v>0</v>
      </c>
      <c r="F8" s="12">
        <f>JNCT_2026!S2</f>
        <v>3</v>
      </c>
      <c r="G8" s="12">
        <f>JNCT_2026!Q3</f>
        <v>0</v>
      </c>
      <c r="H8" s="12">
        <f>JNCT_2026!R3</f>
        <v>9</v>
      </c>
      <c r="I8" s="12">
        <f>JNCT_2026!Q4</f>
        <v>79</v>
      </c>
      <c r="J8" s="12">
        <f>JNCT_2026!R4</f>
        <v>126</v>
      </c>
    </row>
    <row r="9" spans="1:11" s="6" customFormat="1" x14ac:dyDescent="0.3">
      <c r="A9" s="33" t="s">
        <v>78</v>
      </c>
      <c r="B9" s="33"/>
      <c r="C9" s="33">
        <f>SUM(C2:C8)</f>
        <v>72</v>
      </c>
      <c r="D9" s="33">
        <f t="shared" ref="D9:J9" si="1">SUM(D2:D8)</f>
        <v>23</v>
      </c>
      <c r="E9" s="33">
        <f t="shared" si="1"/>
        <v>2</v>
      </c>
      <c r="F9" s="33">
        <f t="shared" si="1"/>
        <v>47</v>
      </c>
      <c r="G9" s="33">
        <f t="shared" si="1"/>
        <v>69</v>
      </c>
      <c r="H9" s="33">
        <f t="shared" si="1"/>
        <v>121</v>
      </c>
      <c r="I9" s="33">
        <f t="shared" si="1"/>
        <v>2346</v>
      </c>
      <c r="J9" s="33">
        <f t="shared" si="1"/>
        <v>2625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abSelected="1" workbookViewId="0">
      <selection activeCell="M3" sqref="M3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144</v>
      </c>
      <c r="R1" s="11" t="s">
        <v>77</v>
      </c>
      <c r="S1" s="11" t="s">
        <v>78</v>
      </c>
    </row>
    <row r="2" spans="1:19" ht="43.2" x14ac:dyDescent="0.3">
      <c r="A2" s="12" t="s">
        <v>172</v>
      </c>
      <c r="B2" s="16">
        <v>46200</v>
      </c>
      <c r="C2" s="12" t="s">
        <v>61</v>
      </c>
      <c r="D2" s="12" t="s">
        <v>173</v>
      </c>
      <c r="E2" s="12" t="s">
        <v>130</v>
      </c>
      <c r="F2" s="12" t="s">
        <v>174</v>
      </c>
      <c r="G2" s="17" t="s">
        <v>16</v>
      </c>
      <c r="H2" s="12" t="s">
        <v>179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30" t="s">
        <v>172</v>
      </c>
      <c r="B3" s="32">
        <v>46200</v>
      </c>
      <c r="C3" s="30" t="s">
        <v>61</v>
      </c>
      <c r="D3" s="30" t="s">
        <v>173</v>
      </c>
      <c r="E3" s="30" t="s">
        <v>130</v>
      </c>
      <c r="F3" s="10" t="s">
        <v>175</v>
      </c>
      <c r="G3" s="14" t="s">
        <v>16</v>
      </c>
      <c r="H3" s="10" t="s">
        <v>178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2" t="s">
        <v>172</v>
      </c>
      <c r="B4" s="16">
        <v>46200</v>
      </c>
      <c r="C4" s="12" t="s">
        <v>61</v>
      </c>
      <c r="D4" s="12" t="s">
        <v>173</v>
      </c>
      <c r="E4" s="12" t="s">
        <v>130</v>
      </c>
      <c r="F4" s="19" t="s">
        <v>176</v>
      </c>
      <c r="G4" s="21" t="s">
        <v>16</v>
      </c>
      <c r="H4" s="19" t="s">
        <v>177</v>
      </c>
      <c r="I4" s="19"/>
      <c r="J4" s="19"/>
      <c r="K4" s="19"/>
      <c r="L4" s="19">
        <v>1</v>
      </c>
      <c r="M4" s="19">
        <v>28</v>
      </c>
      <c r="N4" s="19">
        <v>42</v>
      </c>
      <c r="O4" s="19"/>
      <c r="P4" s="18" t="s">
        <v>79</v>
      </c>
      <c r="Q4" s="12">
        <f>SUM(M2:M4)</f>
        <v>79</v>
      </c>
      <c r="R4" s="12">
        <f>SUM(N2:N4)</f>
        <v>126</v>
      </c>
      <c r="S4" s="12">
        <f>SUM(Q4:R4)</f>
        <v>205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79</v>
      </c>
      <c r="N23">
        <f t="shared" si="0"/>
        <v>126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S23"/>
  <sheetViews>
    <sheetView workbookViewId="0">
      <selection activeCell="L12" sqref="L12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144</v>
      </c>
      <c r="R1" s="11" t="s">
        <v>77</v>
      </c>
      <c r="S1" s="11" t="s">
        <v>78</v>
      </c>
    </row>
    <row r="2" spans="1:19" ht="28.8" x14ac:dyDescent="0.3">
      <c r="A2" s="12" t="s">
        <v>142</v>
      </c>
      <c r="B2" s="16">
        <v>46189</v>
      </c>
      <c r="C2" s="12" t="s">
        <v>96</v>
      </c>
      <c r="D2" s="12" t="s">
        <v>10</v>
      </c>
      <c r="E2" s="12" t="s">
        <v>166</v>
      </c>
      <c r="F2" s="12" t="s">
        <v>169</v>
      </c>
      <c r="G2" s="17" t="s">
        <v>16</v>
      </c>
      <c r="H2" s="12" t="s">
        <v>158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142</v>
      </c>
      <c r="B3" s="32">
        <v>46189</v>
      </c>
      <c r="C3" s="30" t="s">
        <v>96</v>
      </c>
      <c r="D3" s="30" t="s">
        <v>10</v>
      </c>
      <c r="E3" s="30" t="s">
        <v>166</v>
      </c>
      <c r="F3" s="10" t="s">
        <v>170</v>
      </c>
      <c r="G3" s="14" t="s">
        <v>16</v>
      </c>
      <c r="H3" s="10" t="s">
        <v>171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142</v>
      </c>
      <c r="B4" s="16">
        <v>46189</v>
      </c>
      <c r="C4" s="12" t="s">
        <v>96</v>
      </c>
      <c r="D4" s="12" t="s">
        <v>10</v>
      </c>
      <c r="E4" s="12" t="s">
        <v>166</v>
      </c>
      <c r="F4" s="19" t="s">
        <v>167</v>
      </c>
      <c r="G4" s="21" t="s">
        <v>16</v>
      </c>
      <c r="H4" s="19" t="s">
        <v>168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79</v>
      </c>
      <c r="Q4" s="12">
        <f>SUM(M2:M4)</f>
        <v>78</v>
      </c>
      <c r="R4" s="12">
        <f>SUM(N2:N4)</f>
        <v>127</v>
      </c>
      <c r="S4" s="12">
        <f>SUM(Q4:R4)</f>
        <v>205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78</v>
      </c>
      <c r="N23">
        <f t="shared" si="0"/>
        <v>127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3"/>
  <sheetViews>
    <sheetView workbookViewId="0">
      <selection activeCell="S4" sqref="S4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144</v>
      </c>
      <c r="R1" s="11" t="s">
        <v>77</v>
      </c>
      <c r="S1" s="11" t="s">
        <v>78</v>
      </c>
    </row>
    <row r="2" spans="1:19" ht="28.8" x14ac:dyDescent="0.3">
      <c r="A2" s="12" t="s">
        <v>142</v>
      </c>
      <c r="B2" s="16">
        <v>45851</v>
      </c>
      <c r="C2" s="12" t="s">
        <v>26</v>
      </c>
      <c r="D2" s="12" t="s">
        <v>62</v>
      </c>
      <c r="E2" s="12" t="s">
        <v>145</v>
      </c>
      <c r="F2" s="12" t="s">
        <v>147</v>
      </c>
      <c r="G2" s="17" t="s">
        <v>16</v>
      </c>
      <c r="H2" s="12" t="s">
        <v>148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142</v>
      </c>
      <c r="B3" s="13">
        <v>45851</v>
      </c>
      <c r="C3" s="10" t="s">
        <v>26</v>
      </c>
      <c r="D3" s="10" t="s">
        <v>62</v>
      </c>
      <c r="E3" s="10" t="s">
        <v>145</v>
      </c>
      <c r="F3" s="10" t="s">
        <v>149</v>
      </c>
      <c r="G3" s="14" t="s">
        <v>16</v>
      </c>
      <c r="H3" s="10" t="s">
        <v>150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142</v>
      </c>
      <c r="B4" s="20">
        <v>45851</v>
      </c>
      <c r="C4" s="19" t="s">
        <v>26</v>
      </c>
      <c r="D4" s="19" t="s">
        <v>62</v>
      </c>
      <c r="E4" s="12" t="s">
        <v>145</v>
      </c>
      <c r="F4" s="19" t="s">
        <v>151</v>
      </c>
      <c r="G4" s="21" t="s">
        <v>16</v>
      </c>
      <c r="H4" s="19" t="s">
        <v>152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79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72</v>
      </c>
      <c r="N23">
        <f t="shared" si="0"/>
        <v>126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19" workbookViewId="0">
      <selection activeCell="J23" sqref="J23"/>
    </sheetView>
  </sheetViews>
  <sheetFormatPr defaultRowHeight="14.4" x14ac:dyDescent="0.3"/>
  <cols>
    <col min="1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146</v>
      </c>
      <c r="O1" s="15"/>
      <c r="P1" s="15"/>
      <c r="Q1" s="11" t="s">
        <v>143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45822</v>
      </c>
      <c r="C2" s="12" t="s">
        <v>61</v>
      </c>
      <c r="D2" s="12" t="s">
        <v>27</v>
      </c>
      <c r="E2" s="12" t="s">
        <v>106</v>
      </c>
      <c r="F2" s="12" t="s">
        <v>107</v>
      </c>
      <c r="G2" s="17" t="s">
        <v>19</v>
      </c>
      <c r="H2" s="12" t="s">
        <v>108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164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37</v>
      </c>
      <c r="B3" s="13">
        <v>45822</v>
      </c>
      <c r="C3" s="10" t="s">
        <v>61</v>
      </c>
      <c r="D3" s="10" t="s">
        <v>27</v>
      </c>
      <c r="E3" s="10" t="s">
        <v>106</v>
      </c>
      <c r="F3" s="10" t="s">
        <v>110</v>
      </c>
      <c r="G3" s="14" t="s">
        <v>35</v>
      </c>
      <c r="H3" s="10" t="s">
        <v>109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37</v>
      </c>
      <c r="B4" s="16">
        <v>45822</v>
      </c>
      <c r="C4" s="12" t="s">
        <v>61</v>
      </c>
      <c r="D4" s="12" t="s">
        <v>27</v>
      </c>
      <c r="E4" s="12" t="s">
        <v>106</v>
      </c>
      <c r="F4" s="12" t="s">
        <v>113</v>
      </c>
      <c r="G4" s="17" t="s">
        <v>16</v>
      </c>
      <c r="H4" s="12" t="s">
        <v>111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79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37</v>
      </c>
      <c r="B5" s="13">
        <v>45827</v>
      </c>
      <c r="C5" s="10" t="s">
        <v>112</v>
      </c>
      <c r="D5" s="10" t="s">
        <v>10</v>
      </c>
      <c r="E5" s="10" t="s">
        <v>106</v>
      </c>
      <c r="F5" s="10" t="s">
        <v>107</v>
      </c>
      <c r="G5" s="14" t="s">
        <v>19</v>
      </c>
      <c r="H5" s="22" t="s">
        <v>114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45827</v>
      </c>
      <c r="C6" s="12" t="s">
        <v>112</v>
      </c>
      <c r="D6" s="12" t="s">
        <v>10</v>
      </c>
      <c r="E6" s="12" t="s">
        <v>106</v>
      </c>
      <c r="F6" s="24" t="s">
        <v>115</v>
      </c>
      <c r="G6" s="17" t="s">
        <v>16</v>
      </c>
      <c r="H6" s="24" t="s">
        <v>116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45827</v>
      </c>
      <c r="C7" s="10" t="s">
        <v>112</v>
      </c>
      <c r="D7" s="10" t="s">
        <v>10</v>
      </c>
      <c r="E7" s="10" t="s">
        <v>106</v>
      </c>
      <c r="F7" s="22" t="s">
        <v>117</v>
      </c>
      <c r="G7" s="14" t="s">
        <v>19</v>
      </c>
      <c r="H7" s="22" t="s">
        <v>118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43.2" x14ac:dyDescent="0.3">
      <c r="A8" s="12" t="s">
        <v>37</v>
      </c>
      <c r="B8" s="16">
        <v>45827</v>
      </c>
      <c r="C8" s="12" t="s">
        <v>112</v>
      </c>
      <c r="D8" s="12" t="s">
        <v>10</v>
      </c>
      <c r="E8" s="12" t="s">
        <v>106</v>
      </c>
      <c r="F8" s="12" t="s">
        <v>119</v>
      </c>
      <c r="G8" s="17" t="s">
        <v>16</v>
      </c>
      <c r="H8" s="24" t="s">
        <v>120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3">
        <v>45837</v>
      </c>
      <c r="C9" s="10" t="s">
        <v>112</v>
      </c>
      <c r="D9" s="10" t="s">
        <v>121</v>
      </c>
      <c r="E9" s="10" t="s">
        <v>106</v>
      </c>
      <c r="F9" s="10" t="s">
        <v>122</v>
      </c>
      <c r="G9" s="14" t="s">
        <v>16</v>
      </c>
      <c r="H9" s="10" t="s">
        <v>123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6">
        <v>45837</v>
      </c>
      <c r="C10" s="12" t="s">
        <v>112</v>
      </c>
      <c r="D10" s="12" t="s">
        <v>121</v>
      </c>
      <c r="E10" s="12" t="s">
        <v>106</v>
      </c>
      <c r="F10" s="12" t="s">
        <v>124</v>
      </c>
      <c r="G10" s="17" t="s">
        <v>19</v>
      </c>
      <c r="H10" s="12" t="s">
        <v>125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3">
        <v>45837</v>
      </c>
      <c r="C11" s="10" t="s">
        <v>112</v>
      </c>
      <c r="D11" s="10" t="s">
        <v>121</v>
      </c>
      <c r="E11" s="10" t="s">
        <v>106</v>
      </c>
      <c r="F11" s="10" t="s">
        <v>126</v>
      </c>
      <c r="G11" s="14" t="s">
        <v>19</v>
      </c>
      <c r="H11" s="10" t="s">
        <v>127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6">
        <v>45837</v>
      </c>
      <c r="C12" s="12" t="s">
        <v>112</v>
      </c>
      <c r="D12" s="12" t="s">
        <v>121</v>
      </c>
      <c r="E12" s="12" t="s">
        <v>106</v>
      </c>
      <c r="F12" s="12" t="s">
        <v>128</v>
      </c>
      <c r="G12" s="17" t="s">
        <v>16</v>
      </c>
      <c r="H12" s="12" t="s">
        <v>129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3">
        <v>45839</v>
      </c>
      <c r="C13" s="10" t="s">
        <v>96</v>
      </c>
      <c r="D13" s="10" t="s">
        <v>39</v>
      </c>
      <c r="E13" s="10" t="s">
        <v>130</v>
      </c>
      <c r="F13" s="10" t="s">
        <v>124</v>
      </c>
      <c r="G13" s="14" t="s">
        <v>19</v>
      </c>
      <c r="H13" s="10" t="s">
        <v>133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37</v>
      </c>
      <c r="B14" s="25">
        <v>45839</v>
      </c>
      <c r="C14" s="12" t="s">
        <v>96</v>
      </c>
      <c r="D14" s="12" t="s">
        <v>39</v>
      </c>
      <c r="E14" s="12" t="s">
        <v>130</v>
      </c>
      <c r="F14" s="12" t="s">
        <v>131</v>
      </c>
      <c r="G14" s="17" t="s">
        <v>16</v>
      </c>
      <c r="H14" s="12" t="s">
        <v>134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37</v>
      </c>
      <c r="B15" s="23">
        <v>45839</v>
      </c>
      <c r="C15" s="10" t="s">
        <v>96</v>
      </c>
      <c r="D15" s="10" t="s">
        <v>39</v>
      </c>
      <c r="E15" s="10" t="s">
        <v>130</v>
      </c>
      <c r="F15" s="10" t="s">
        <v>132</v>
      </c>
      <c r="G15" s="14" t="s">
        <v>19</v>
      </c>
      <c r="H15" s="10" t="s">
        <v>135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37</v>
      </c>
      <c r="B16" s="25">
        <v>45839</v>
      </c>
      <c r="C16" s="12" t="s">
        <v>96</v>
      </c>
      <c r="D16" s="12" t="s">
        <v>39</v>
      </c>
      <c r="E16" s="12" t="s">
        <v>130</v>
      </c>
      <c r="F16" s="12" t="s">
        <v>136</v>
      </c>
      <c r="G16" s="17" t="s">
        <v>16</v>
      </c>
      <c r="H16" s="12" t="s">
        <v>41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37</v>
      </c>
      <c r="B17" s="23">
        <v>45844</v>
      </c>
      <c r="C17" s="10" t="s">
        <v>26</v>
      </c>
      <c r="D17" s="10" t="s">
        <v>52</v>
      </c>
      <c r="E17" s="10" t="s">
        <v>106</v>
      </c>
      <c r="F17" s="10" t="s">
        <v>137</v>
      </c>
      <c r="G17" s="14" t="s">
        <v>19</v>
      </c>
      <c r="H17" s="10" t="s">
        <v>139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37</v>
      </c>
      <c r="B18" s="25">
        <v>45844</v>
      </c>
      <c r="C18" s="12" t="s">
        <v>26</v>
      </c>
      <c r="D18" s="12" t="s">
        <v>52</v>
      </c>
      <c r="E18" s="12" t="s">
        <v>106</v>
      </c>
      <c r="F18" s="12" t="s">
        <v>138</v>
      </c>
      <c r="G18" s="17" t="s">
        <v>16</v>
      </c>
      <c r="H18" s="12" t="s">
        <v>140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37</v>
      </c>
      <c r="B19" s="23">
        <v>45844</v>
      </c>
      <c r="C19" s="10" t="s">
        <v>26</v>
      </c>
      <c r="D19" s="10" t="s">
        <v>52</v>
      </c>
      <c r="E19" s="10" t="s">
        <v>106</v>
      </c>
      <c r="F19" s="10" t="s">
        <v>117</v>
      </c>
      <c r="G19" s="14" t="s">
        <v>19</v>
      </c>
      <c r="H19" s="10" t="s">
        <v>139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37</v>
      </c>
      <c r="B20" s="25">
        <v>45844</v>
      </c>
      <c r="C20" s="12" t="s">
        <v>26</v>
      </c>
      <c r="D20" s="12" t="s">
        <v>52</v>
      </c>
      <c r="E20" s="12" t="s">
        <v>106</v>
      </c>
      <c r="F20" s="12" t="s">
        <v>122</v>
      </c>
      <c r="G20" s="17" t="s">
        <v>16</v>
      </c>
      <c r="H20" s="12" t="s">
        <v>141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37</v>
      </c>
      <c r="B21" s="23">
        <v>45868</v>
      </c>
      <c r="C21" s="10" t="s">
        <v>9</v>
      </c>
      <c r="D21" s="10" t="s">
        <v>153</v>
      </c>
      <c r="E21" s="10" t="s">
        <v>106</v>
      </c>
      <c r="F21" s="10" t="s">
        <v>131</v>
      </c>
      <c r="G21" s="14" t="s">
        <v>16</v>
      </c>
      <c r="H21" s="10" t="s">
        <v>157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37</v>
      </c>
      <c r="B22" s="25">
        <v>45868</v>
      </c>
      <c r="C22" s="12" t="s">
        <v>9</v>
      </c>
      <c r="D22" s="12" t="s">
        <v>153</v>
      </c>
      <c r="E22" s="12" t="s">
        <v>106</v>
      </c>
      <c r="F22" s="12" t="s">
        <v>122</v>
      </c>
      <c r="G22" s="17" t="s">
        <v>16</v>
      </c>
      <c r="H22" s="12" t="s">
        <v>156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37</v>
      </c>
      <c r="B23" s="23">
        <v>45868</v>
      </c>
      <c r="C23" s="10" t="s">
        <v>9</v>
      </c>
      <c r="D23" s="10" t="s">
        <v>153</v>
      </c>
      <c r="E23" s="10" t="s">
        <v>106</v>
      </c>
      <c r="F23" s="10" t="s">
        <v>154</v>
      </c>
      <c r="G23" s="14" t="s">
        <v>16</v>
      </c>
      <c r="H23" s="10" t="s">
        <v>158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37</v>
      </c>
      <c r="B24" s="25">
        <v>45868</v>
      </c>
      <c r="C24" s="12" t="s">
        <v>9</v>
      </c>
      <c r="D24" s="12" t="s">
        <v>153</v>
      </c>
      <c r="E24" s="12" t="s">
        <v>106</v>
      </c>
      <c r="F24" s="12" t="s">
        <v>155</v>
      </c>
      <c r="G24" s="17" t="s">
        <v>19</v>
      </c>
      <c r="H24" s="12" t="s">
        <v>159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37</v>
      </c>
      <c r="B25" s="23">
        <v>46608</v>
      </c>
      <c r="C25" s="10" t="s">
        <v>61</v>
      </c>
      <c r="D25" s="10" t="s">
        <v>69</v>
      </c>
      <c r="E25" s="10" t="s">
        <v>106</v>
      </c>
      <c r="F25" s="10" t="s">
        <v>137</v>
      </c>
      <c r="G25" s="14" t="s">
        <v>19</v>
      </c>
      <c r="H25" s="10" t="s">
        <v>34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37</v>
      </c>
      <c r="B26" s="25">
        <v>46608</v>
      </c>
      <c r="C26" s="12" t="s">
        <v>61</v>
      </c>
      <c r="D26" s="12" t="s">
        <v>69</v>
      </c>
      <c r="E26" s="12" t="s">
        <v>106</v>
      </c>
      <c r="F26" s="12" t="s">
        <v>160</v>
      </c>
      <c r="G26" s="17" t="s">
        <v>16</v>
      </c>
      <c r="H26" s="12" t="s">
        <v>148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37</v>
      </c>
      <c r="B27" s="23">
        <v>46608</v>
      </c>
      <c r="C27" s="10" t="s">
        <v>61</v>
      </c>
      <c r="D27" s="10" t="s">
        <v>69</v>
      </c>
      <c r="E27" s="10" t="s">
        <v>106</v>
      </c>
      <c r="F27" s="10" t="s">
        <v>161</v>
      </c>
      <c r="G27" s="14" t="s">
        <v>19</v>
      </c>
      <c r="H27" s="10" t="s">
        <v>162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37</v>
      </c>
      <c r="B28" s="25">
        <v>46608</v>
      </c>
      <c r="C28" s="12" t="s">
        <v>61</v>
      </c>
      <c r="D28" s="12" t="s">
        <v>69</v>
      </c>
      <c r="E28" s="12" t="s">
        <v>106</v>
      </c>
      <c r="F28" s="12" t="s">
        <v>163</v>
      </c>
      <c r="G28" s="17" t="s">
        <v>16</v>
      </c>
      <c r="H28" s="12" t="s">
        <v>75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23"/>
  <sheetViews>
    <sheetView workbookViewId="0">
      <selection activeCell="L7" sqref="L7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146</v>
      </c>
      <c r="O1" s="15"/>
      <c r="P1" s="15"/>
      <c r="Q1" s="11" t="s">
        <v>80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45423</v>
      </c>
      <c r="C2" s="12" t="s">
        <v>61</v>
      </c>
      <c r="D2" s="12" t="s">
        <v>69</v>
      </c>
      <c r="E2" s="12" t="s">
        <v>70</v>
      </c>
      <c r="F2" s="12" t="s">
        <v>71</v>
      </c>
      <c r="G2" s="17" t="s">
        <v>16</v>
      </c>
      <c r="H2" s="12" t="s">
        <v>72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164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37</v>
      </c>
      <c r="B3" s="13">
        <v>45423</v>
      </c>
      <c r="C3" s="10" t="s">
        <v>61</v>
      </c>
      <c r="D3" s="10" t="s">
        <v>69</v>
      </c>
      <c r="E3" s="10" t="s">
        <v>70</v>
      </c>
      <c r="F3" s="10" t="s">
        <v>73</v>
      </c>
      <c r="G3" s="14" t="s">
        <v>16</v>
      </c>
      <c r="H3" s="10" t="s">
        <v>74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37</v>
      </c>
      <c r="B4" s="16">
        <v>45423</v>
      </c>
      <c r="C4" s="12" t="s">
        <v>61</v>
      </c>
      <c r="D4" s="12" t="s">
        <v>69</v>
      </c>
      <c r="E4" s="12" t="s">
        <v>70</v>
      </c>
      <c r="F4" s="12" t="s">
        <v>48</v>
      </c>
      <c r="G4" s="17" t="s">
        <v>16</v>
      </c>
      <c r="H4" s="12" t="s">
        <v>75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79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37</v>
      </c>
      <c r="B5" s="13">
        <v>45458</v>
      </c>
      <c r="C5" s="10" t="s">
        <v>61</v>
      </c>
      <c r="D5" s="10" t="s">
        <v>27</v>
      </c>
      <c r="E5" s="10" t="s">
        <v>70</v>
      </c>
      <c r="F5" s="22" t="s">
        <v>90</v>
      </c>
      <c r="G5" s="14" t="s">
        <v>16</v>
      </c>
      <c r="H5" s="22" t="s">
        <v>91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45458</v>
      </c>
      <c r="C6" s="12" t="s">
        <v>61</v>
      </c>
      <c r="D6" s="12" t="s">
        <v>27</v>
      </c>
      <c r="E6" s="12" t="s">
        <v>70</v>
      </c>
      <c r="F6" s="24" t="s">
        <v>92</v>
      </c>
      <c r="G6" s="17" t="s">
        <v>16</v>
      </c>
      <c r="H6" s="24" t="s">
        <v>25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45458</v>
      </c>
      <c r="C7" s="10" t="s">
        <v>61</v>
      </c>
      <c r="D7" s="10" t="s">
        <v>27</v>
      </c>
      <c r="E7" s="10" t="s">
        <v>70</v>
      </c>
      <c r="F7" s="22" t="s">
        <v>93</v>
      </c>
      <c r="G7" s="14" t="s">
        <v>35</v>
      </c>
      <c r="H7" s="22" t="s">
        <v>94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6">
        <v>45458</v>
      </c>
      <c r="C8" s="12" t="s">
        <v>61</v>
      </c>
      <c r="D8" s="12" t="s">
        <v>27</v>
      </c>
      <c r="E8" s="12" t="s">
        <v>70</v>
      </c>
      <c r="F8" s="12" t="s">
        <v>48</v>
      </c>
      <c r="G8" s="17" t="s">
        <v>16</v>
      </c>
      <c r="H8" s="24" t="s">
        <v>95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37</v>
      </c>
      <c r="B9" s="23">
        <v>45461</v>
      </c>
      <c r="C9" s="10" t="s">
        <v>96</v>
      </c>
      <c r="D9" s="10" t="s">
        <v>10</v>
      </c>
      <c r="E9" s="10" t="s">
        <v>70</v>
      </c>
      <c r="F9" s="10" t="s">
        <v>97</v>
      </c>
      <c r="G9" s="14" t="s">
        <v>16</v>
      </c>
      <c r="H9" s="10" t="s">
        <v>98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25">
        <v>45461</v>
      </c>
      <c r="C10" s="12" t="s">
        <v>96</v>
      </c>
      <c r="D10" s="12" t="s">
        <v>10</v>
      </c>
      <c r="E10" s="12" t="s">
        <v>70</v>
      </c>
      <c r="F10" s="12" t="s">
        <v>99</v>
      </c>
      <c r="G10" s="17" t="s">
        <v>16</v>
      </c>
      <c r="H10" s="12" t="s">
        <v>100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23">
        <v>45461</v>
      </c>
      <c r="C11" s="10" t="s">
        <v>96</v>
      </c>
      <c r="D11" s="10" t="s">
        <v>10</v>
      </c>
      <c r="E11" s="10" t="s">
        <v>70</v>
      </c>
      <c r="F11" s="10" t="s">
        <v>92</v>
      </c>
      <c r="G11" s="14" t="s">
        <v>16</v>
      </c>
      <c r="H11" s="10" t="s">
        <v>102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25">
        <v>45461</v>
      </c>
      <c r="C12" s="12" t="s">
        <v>96</v>
      </c>
      <c r="D12" s="12" t="s">
        <v>10</v>
      </c>
      <c r="E12" s="12" t="s">
        <v>70</v>
      </c>
      <c r="F12" s="12" t="s">
        <v>101</v>
      </c>
      <c r="G12" s="17" t="s">
        <v>19</v>
      </c>
      <c r="H12" s="12" t="s">
        <v>103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3">
        <v>45461</v>
      </c>
      <c r="C13" s="10" t="s">
        <v>96</v>
      </c>
      <c r="D13" s="10" t="s">
        <v>10</v>
      </c>
      <c r="E13" s="10" t="s">
        <v>70</v>
      </c>
      <c r="F13" s="10" t="s">
        <v>104</v>
      </c>
      <c r="G13" s="14" t="s">
        <v>16</v>
      </c>
      <c r="H13" s="10" t="s">
        <v>105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  <row r="23" spans="9:13" x14ac:dyDescent="0.3">
      <c r="I23">
        <f>SUM(I2:I22)</f>
        <v>1</v>
      </c>
      <c r="J23">
        <f>SUM(J2:J22)</f>
        <v>0</v>
      </c>
      <c r="K23">
        <f>SUM(K2:K22)</f>
        <v>11</v>
      </c>
      <c r="L23">
        <f>SUM(L2:L22)</f>
        <v>344</v>
      </c>
      <c r="M23">
        <f>SUM(M2:M22)</f>
        <v>509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workbookViewId="0">
      <selection activeCell="E3" sqref="E3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146</v>
      </c>
      <c r="O1" s="15"/>
      <c r="P1" s="11" t="s">
        <v>42</v>
      </c>
      <c r="Q1" s="11" t="s">
        <v>165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45107</v>
      </c>
      <c r="C2" s="12" t="s">
        <v>38</v>
      </c>
      <c r="D2" s="12" t="s">
        <v>39</v>
      </c>
      <c r="E2" s="12" t="s">
        <v>42</v>
      </c>
      <c r="F2" s="12" t="s">
        <v>40</v>
      </c>
      <c r="G2" s="12" t="s">
        <v>16</v>
      </c>
      <c r="H2" s="12" t="s">
        <v>41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164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37</v>
      </c>
      <c r="B3" s="13">
        <v>45107</v>
      </c>
      <c r="C3" s="10" t="s">
        <v>38</v>
      </c>
      <c r="D3" s="10" t="s">
        <v>39</v>
      </c>
      <c r="E3" s="10" t="s">
        <v>42</v>
      </c>
      <c r="F3" s="10" t="s">
        <v>43</v>
      </c>
      <c r="G3" s="10" t="s">
        <v>16</v>
      </c>
      <c r="H3" s="10" t="s">
        <v>44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37</v>
      </c>
      <c r="B4" s="16">
        <v>45107</v>
      </c>
      <c r="C4" s="12" t="s">
        <v>38</v>
      </c>
      <c r="D4" s="12" t="s">
        <v>39</v>
      </c>
      <c r="E4" s="12" t="s">
        <v>42</v>
      </c>
      <c r="F4" s="12" t="s">
        <v>45</v>
      </c>
      <c r="G4" s="17" t="s">
        <v>46</v>
      </c>
      <c r="H4" s="12" t="s">
        <v>47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79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37</v>
      </c>
      <c r="B5" s="13">
        <v>45107</v>
      </c>
      <c r="C5" s="10" t="s">
        <v>38</v>
      </c>
      <c r="D5" s="10" t="s">
        <v>39</v>
      </c>
      <c r="E5" s="10" t="s">
        <v>42</v>
      </c>
      <c r="F5" s="10" t="s">
        <v>48</v>
      </c>
      <c r="G5" s="14" t="s">
        <v>46</v>
      </c>
      <c r="H5" s="10" t="s">
        <v>49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45107</v>
      </c>
      <c r="C6" s="12" t="s">
        <v>38</v>
      </c>
      <c r="D6" s="12" t="s">
        <v>39</v>
      </c>
      <c r="E6" s="12" t="s">
        <v>42</v>
      </c>
      <c r="F6" s="12" t="s">
        <v>50</v>
      </c>
      <c r="G6" s="17" t="s">
        <v>35</v>
      </c>
      <c r="H6" s="12" t="s">
        <v>51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45112</v>
      </c>
      <c r="C7" s="10" t="s">
        <v>9</v>
      </c>
      <c r="D7" s="10" t="s">
        <v>52</v>
      </c>
      <c r="E7" s="10" t="s">
        <v>42</v>
      </c>
      <c r="F7" s="10" t="s">
        <v>53</v>
      </c>
      <c r="G7" s="14" t="s">
        <v>16</v>
      </c>
      <c r="H7" s="10" t="s">
        <v>54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6">
        <v>45112</v>
      </c>
      <c r="C8" s="12" t="s">
        <v>9</v>
      </c>
      <c r="D8" s="12" t="s">
        <v>52</v>
      </c>
      <c r="E8" s="12" t="s">
        <v>42</v>
      </c>
      <c r="F8" s="12" t="s">
        <v>55</v>
      </c>
      <c r="G8" s="17" t="s">
        <v>16</v>
      </c>
      <c r="H8" s="17" t="s">
        <v>56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3">
        <v>45112</v>
      </c>
      <c r="C9" s="10" t="s">
        <v>9</v>
      </c>
      <c r="D9" s="10" t="s">
        <v>52</v>
      </c>
      <c r="E9" s="10" t="s">
        <v>42</v>
      </c>
      <c r="F9" s="10" t="s">
        <v>57</v>
      </c>
      <c r="G9" s="14" t="s">
        <v>19</v>
      </c>
      <c r="H9" s="10" t="s">
        <v>58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6">
        <v>45112</v>
      </c>
      <c r="C10" s="12" t="s">
        <v>9</v>
      </c>
      <c r="D10" s="12" t="s">
        <v>52</v>
      </c>
      <c r="E10" s="12" t="s">
        <v>42</v>
      </c>
      <c r="F10" s="12" t="s">
        <v>59</v>
      </c>
      <c r="G10" s="17" t="s">
        <v>16</v>
      </c>
      <c r="H10" s="12" t="s">
        <v>60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3">
        <v>45122</v>
      </c>
      <c r="C11" s="10" t="s">
        <v>61</v>
      </c>
      <c r="D11" s="10" t="s">
        <v>62</v>
      </c>
      <c r="E11" s="10" t="s">
        <v>42</v>
      </c>
      <c r="F11" s="14" t="s">
        <v>63</v>
      </c>
      <c r="G11" s="14" t="s">
        <v>16</v>
      </c>
      <c r="H11" s="10" t="s">
        <v>64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6">
        <v>45122</v>
      </c>
      <c r="C12" s="12" t="s">
        <v>61</v>
      </c>
      <c r="D12" s="12" t="s">
        <v>62</v>
      </c>
      <c r="E12" s="12" t="s">
        <v>42</v>
      </c>
      <c r="F12" s="17" t="s">
        <v>65</v>
      </c>
      <c r="G12" s="17" t="s">
        <v>16</v>
      </c>
      <c r="H12" s="12" t="s">
        <v>66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37</v>
      </c>
      <c r="B13" s="13">
        <v>45122</v>
      </c>
      <c r="C13" s="10" t="s">
        <v>61</v>
      </c>
      <c r="D13" s="10" t="s">
        <v>62</v>
      </c>
      <c r="E13" s="10" t="s">
        <v>42</v>
      </c>
      <c r="F13" s="14" t="s">
        <v>67</v>
      </c>
      <c r="G13" s="14" t="s">
        <v>16</v>
      </c>
      <c r="H13" s="10" t="s">
        <v>68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Q5" sqref="Q5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146</v>
      </c>
      <c r="O1" s="11"/>
      <c r="P1" s="11" t="s">
        <v>76</v>
      </c>
      <c r="Q1" s="11" t="s">
        <v>77</v>
      </c>
      <c r="R1" s="11" t="s">
        <v>78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164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15</v>
      </c>
      <c r="G3" s="10" t="s">
        <v>16</v>
      </c>
      <c r="H3" s="10" t="s">
        <v>17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18</v>
      </c>
      <c r="G4" s="12" t="s">
        <v>19</v>
      </c>
      <c r="H4" s="12" t="s">
        <v>20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79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21</v>
      </c>
      <c r="G5" s="10" t="s">
        <v>19</v>
      </c>
      <c r="H5" s="28" t="s">
        <v>22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23</v>
      </c>
      <c r="G6" s="17" t="s">
        <v>13</v>
      </c>
      <c r="H6" s="12" t="s">
        <v>24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15</v>
      </c>
      <c r="G7" s="10" t="s">
        <v>16</v>
      </c>
      <c r="H7" s="10" t="s">
        <v>25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26</v>
      </c>
      <c r="D8" s="12" t="s">
        <v>27</v>
      </c>
      <c r="E8" s="12" t="s">
        <v>11</v>
      </c>
      <c r="F8" s="12" t="s">
        <v>28</v>
      </c>
      <c r="G8" s="12" t="s">
        <v>19</v>
      </c>
      <c r="H8" s="12" t="s">
        <v>29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26</v>
      </c>
      <c r="D9" s="10" t="s">
        <v>27</v>
      </c>
      <c r="E9" s="10" t="s">
        <v>11</v>
      </c>
      <c r="F9" s="10" t="s">
        <v>18</v>
      </c>
      <c r="G9" s="10" t="s">
        <v>19</v>
      </c>
      <c r="H9" s="10" t="s">
        <v>30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26</v>
      </c>
      <c r="D10" s="12" t="s">
        <v>27</v>
      </c>
      <c r="E10" s="12" t="s">
        <v>11</v>
      </c>
      <c r="F10" s="12" t="s">
        <v>12</v>
      </c>
      <c r="G10" s="12" t="s">
        <v>19</v>
      </c>
      <c r="H10" s="12" t="s">
        <v>31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26</v>
      </c>
      <c r="D11" s="10" t="s">
        <v>27</v>
      </c>
      <c r="E11" s="10" t="s">
        <v>11</v>
      </c>
      <c r="F11" s="10" t="s">
        <v>32</v>
      </c>
      <c r="G11" s="10" t="s">
        <v>19</v>
      </c>
      <c r="H11" s="10" t="s">
        <v>33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26</v>
      </c>
      <c r="D12" s="12" t="s">
        <v>27</v>
      </c>
      <c r="E12" s="12" t="s">
        <v>11</v>
      </c>
      <c r="F12" s="12" t="s">
        <v>23</v>
      </c>
      <c r="G12" s="12" t="s">
        <v>19</v>
      </c>
      <c r="H12" s="12" t="s">
        <v>34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26</v>
      </c>
      <c r="D13" s="10" t="s">
        <v>27</v>
      </c>
      <c r="E13" s="10" t="s">
        <v>11</v>
      </c>
      <c r="F13" s="10" t="s">
        <v>15</v>
      </c>
      <c r="G13" s="14" t="s">
        <v>35</v>
      </c>
      <c r="H13" s="10" t="s">
        <v>36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2026-06-27T11:21:02Z</dcterms:modified>
</cp:coreProperties>
</file>
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1B85F82C-FFBE-4D74-9FD5-715099FBECC5}" xr6:coauthVersionLast="47" xr6:coauthVersionMax="47" xr10:uidLastSave="{00000000-0000-0000-0000-000000000000}"/>
  <bookViews>
    <workbookView xWindow="1848" yWindow="1848" windowWidth="19992" windowHeight="9960" activeTab="1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<sst xmlns="http://schemas.openxmlformats.org/spreadsheetml/2006/main" count="712" uniqueCount="201">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</sst>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14</v>
      </c>
      <c r="D7" s="10">
        <f>U18_2026!Q2</f>
        <v>3</v>
      </c>
      <c r="E7" s="10">
        <f>U18_2026!R2</f>
        <v>1</v>
      </c>
      <c r="F7" s="10">
        <f>U18_2026!T2</f>
        <v>10</v>
      </c>
      <c r="G7" s="10">
        <f>U18_2026!Q3</f>
        <v>8</v>
      </c>
      <c r="H7" s="10">
        <f>U18_2026!S3</f>
        <v>19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6</v>
      </c>
      <c r="D8" s="12">
        <f>JNCT_2026!Q3</f>
        <v>0</v>
      </c>
      <c r="E8" s="12">
        <v>0</v>
      </c>
      <c r="F8" s="12">
        <f>JNCT_2026!S2</f>
        <v>6</v>
      </c>
      <c r="G8" s="12">
        <f>JNCT_2026!Q3</f>
        <v>0</v>
      </c>
      <c r="H8" s="12">
        <f>JNCT_2026!R3</f>
        <v>18</v>
      </c>
      <c r="I8" s="12">
        <f>JNCT_2026!Q4</f>
        <v>152</v>
      </c>
      <c r="J8" s="12">
        <f>JNCT_2026!R4</f>
        <v>252</v>
      </c>
    </row>
    <row r="9" spans="1:11" s="6" customFormat="1" x14ac:dyDescent="0.3">
      <c r="A9" s="33" t="s">
        <v>57</v>
      </c>
      <c r="B9" s="33"/>
      <c r="C9" s="33">
        <f>SUM(C2:C8)</f>
        <v>86</v>
      </c>
      <c r="D9" s="33">
        <f t="shared" ref="D9:J9" si="1">SUM(D2:D8)</f>
        <v>26</v>
      </c>
      <c r="E9" s="33">
        <f t="shared" si="1"/>
        <v>3</v>
      </c>
      <c r="F9" s="33">
        <f t="shared" si="1"/>
        <v>57</v>
      </c>
      <c r="G9" s="33">
        <f t="shared" si="1"/>
        <v>77</v>
      </c>
      <c r="H9" s="33">
        <f t="shared" si="1"/>
        <v>140</v>
      </c>
      <c r="I9" s="33">
        <f t="shared" si="1"/>
        <v>2419</v>
      </c>
      <c r="J9" s="33">
        <f t="shared" si="1"/>
        <v>2751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abSelected="1" topLeftCell="B4" workbookViewId="0">
      <selection activeCell="P13" sqref="P13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6</v>
      </c>
      <c r="S2" s="12">
        <f>SUM(Q2:R2)</f>
        <v>6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18</v>
      </c>
      <c r="S3" s="30">
        <f>SUM(Q3:R3)</f>
        <v>18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152</v>
      </c>
      <c r="R4" s="12">
        <f>SUM(N2:N12)</f>
        <v>252</v>
      </c>
      <c r="S4" s="12">
        <f>SUM(Q4:R4)</f>
        <v>404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x14ac:dyDescent="0.3">
      <c r="A8" s="12" t="s">
        <v>117</v>
      </c>
      <c r="B8" s="16"/>
      <c r="C8" s="12"/>
      <c r="D8" s="12"/>
      <c r="E8" s="12"/>
      <c r="F8" s="12"/>
      <c r="G8" s="21"/>
      <c r="H8" s="19"/>
      <c r="I8" s="19"/>
      <c r="J8" s="19"/>
      <c r="K8" s="19"/>
      <c r="L8" s="19"/>
      <c r="M8" s="19"/>
      <c r="N8" s="19"/>
      <c r="O8" s="19"/>
      <c r="P8" s="18"/>
      <c r="Q8" s="12"/>
      <c r="R8" s="12"/>
      <c r="S8" s="12"/>
    </row>
    <row r="9" spans="1:19" x14ac:dyDescent="0.3">
      <c r="A9" s="30" t="s">
        <v>117</v>
      </c>
      <c r="B9" s="32"/>
      <c r="C9" s="30"/>
      <c r="D9" s="30"/>
      <c r="E9" s="30"/>
      <c r="F9" s="10"/>
      <c r="G9" s="14"/>
      <c r="H9" s="10"/>
      <c r="I9" s="10"/>
      <c r="J9" s="10"/>
      <c r="K9" s="10"/>
      <c r="L9" s="10"/>
      <c r="M9" s="10"/>
      <c r="N9" s="10"/>
      <c r="O9" s="10"/>
      <c r="P9" s="29"/>
      <c r="Q9" s="30"/>
      <c r="R9" s="30"/>
      <c r="S9" s="30"/>
    </row>
    <row r="10" spans="1:19" x14ac:dyDescent="0.3">
      <c r="A10" s="12" t="s">
        <v>117</v>
      </c>
      <c r="B10" s="16"/>
      <c r="C10" s="12"/>
      <c r="D10" s="12"/>
      <c r="E10" s="12"/>
      <c r="F10" s="12"/>
      <c r="G10" s="21"/>
      <c r="H10" s="19"/>
      <c r="I10" s="19"/>
      <c r="J10" s="19"/>
      <c r="K10" s="19"/>
      <c r="L10" s="19"/>
      <c r="M10" s="19"/>
      <c r="N10" s="19"/>
      <c r="O10" s="19"/>
      <c r="P10" s="18"/>
      <c r="Q10" s="12"/>
      <c r="R10" s="12"/>
      <c r="S10" s="12"/>
    </row>
    <row r="11" spans="1:19" x14ac:dyDescent="0.3">
      <c r="A11" s="30" t="s">
        <v>117</v>
      </c>
      <c r="B11" s="32"/>
      <c r="C11" s="30"/>
      <c r="D11" s="30"/>
      <c r="E11" s="30"/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x14ac:dyDescent="0.3">
      <c r="A12" s="12" t="s">
        <v>117</v>
      </c>
      <c r="B12" s="16"/>
      <c r="C12" s="12"/>
      <c r="D12" s="12"/>
      <c r="E12" s="12"/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x14ac:dyDescent="0.3">
      <c r="A13" s="30" t="s">
        <v>117</v>
      </c>
      <c r="B13" s="32"/>
      <c r="C13" s="30"/>
      <c r="D13" s="30"/>
      <c r="E13" s="30"/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6</v>
      </c>
      <c r="M23">
        <f t="shared" si="0"/>
        <v>152</v>
      </c>
      <c r="N23">
        <f t="shared" si="0"/>
        <v>252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zoomScaleNormal="100"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3</v>
      </c>
      <c r="R2" s="12">
        <f>SUM(K2:K20)</f>
        <v>1</v>
      </c>
      <c r="S2" s="12">
        <f>SUM(L2:L20)</f>
        <v>6</v>
      </c>
      <c r="T2" s="12">
        <f t="shared" ref="T2:T9" si="0">SUM(Q2:S2)</f>
        <v>10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8</v>
      </c>
      <c r="R3" s="30"/>
      <c r="S3" s="30">
        <f>SUM(K2:K20)*1+SUM(L2:L20)*3</f>
        <v>19</v>
      </c>
      <c r="T3" s="30">
        <f t="shared" si="0"/>
        <v>27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5</v>
      </c>
      <c r="R6" s="12"/>
      <c r="S6" s="12">
        <f>SUM(K5:K7)*1+SUM(L5:L7)*3</f>
        <v>4</v>
      </c>
      <c r="T6" s="12">
        <f t="shared" si="0"/>
        <v>9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4</v>
      </c>
      <c r="R8" s="12"/>
      <c r="S8" s="12">
        <f>SUM(K7:K9)*1+SUM(L7:L9)*3</f>
        <v>3</v>
      </c>
      <c r="T8" s="12">
        <f t="shared" si="0"/>
        <v>7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x14ac:dyDescent="0.3">
      <c r="A12" s="16"/>
      <c r="B12" s="16"/>
      <c r="C12" s="12"/>
      <c r="D12" s="12"/>
      <c r="E12" s="12"/>
      <c r="F12" s="12"/>
      <c r="G12" s="17"/>
      <c r="H12" s="12"/>
      <c r="I12" s="12"/>
      <c r="J12" s="12"/>
      <c r="K12" s="12"/>
      <c r="L12" s="12"/>
      <c r="M12" s="12"/>
      <c r="N12" s="12"/>
      <c r="O12" s="12"/>
      <c r="P12" s="18"/>
      <c r="Q12" s="12"/>
      <c r="R12" s="12"/>
      <c r="S12" s="12"/>
      <c r="T12" s="12"/>
    </row>
    <row r="13" spans="1:20" x14ac:dyDescent="0.3">
      <c r="A13" s="32"/>
      <c r="B13" s="32"/>
      <c r="C13" s="30"/>
      <c r="D13" s="30"/>
      <c r="E13" s="30"/>
      <c r="F13" s="35"/>
      <c r="G13" s="36"/>
      <c r="H13" s="35"/>
      <c r="I13" s="35"/>
      <c r="J13" s="35"/>
      <c r="K13" s="35"/>
      <c r="L13" s="35"/>
      <c r="M13" s="35"/>
      <c r="N13" s="35"/>
      <c r="O13" s="35"/>
      <c r="P13" s="29"/>
      <c r="Q13" s="30"/>
      <c r="R13" s="30"/>
      <c r="S13" s="30"/>
      <c r="T13" s="30"/>
    </row>
    <row r="14" spans="1:20" x14ac:dyDescent="0.3">
      <c r="B14" s="9"/>
      <c r="E14" s="3"/>
      <c r="G14" s="4"/>
    </row>
    <row r="15" spans="1:20" x14ac:dyDescent="0.3">
      <c r="B15" s="9"/>
      <c r="E15" s="3"/>
      <c r="G15" s="4"/>
    </row>
    <row r="16" spans="1:20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2026-07-02T11:01:54Z</dcterms:modified>
</cp:coreProperties>
</file>
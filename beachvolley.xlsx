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own_prog\github\kaudet\"/>
    </mc:Choice>
  </mc:AlternateContent>
  <xr:revisionPtr revIDLastSave="0" documentId="13_ncr:1_{61C795C6-97CA-4356-87C2-C40AC208CF57}" xr6:coauthVersionLast="47" xr6:coauthVersionMax="47" xr10:uidLastSave="{00000000-0000-0000-0000-000000000000}"/>
  <bookViews>
    <workbookView xWindow="384" yWindow="384" windowWidth="21276" windowHeight="12948" activeTab="2" xr2:uid="{00000000-000D-0000-FFFF-FFFF00000000}"/>
  </bookViews>
  <sheets>
    <sheet name="all" sheetId="4" r:id="rId1"/>
    <sheet name="JNCT_2026" sheetId="8" r:id="rId2"/>
    <sheet name="U18_2026" sheetId="7" r:id="rId3"/>
    <sheet name="U18_2025" sheetId="6" r:id="rId4"/>
    <sheet name="U16_2025" sheetId="5" r:id="rId5"/>
    <sheet name="U16_2024" sheetId="3" r:id="rId6"/>
    <sheet name="U16_2023" sheetId="2" r:id="rId7"/>
    <sheet name="U14_2023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8" l="1"/>
  <c r="Q4" i="8"/>
  <c r="Q3" i="8"/>
  <c r="G8" i="4" s="1"/>
  <c r="R3" i="8"/>
  <c r="H8" i="4" s="1"/>
  <c r="R2" i="8"/>
  <c r="Q2" i="8"/>
  <c r="Q3" i="7"/>
  <c r="Q2" i="7"/>
  <c r="S3" i="7"/>
  <c r="H7" i="4" s="1"/>
  <c r="S2" i="7"/>
  <c r="R2" i="7"/>
  <c r="E7" i="4" s="1"/>
  <c r="S9" i="7"/>
  <c r="Q9" i="7"/>
  <c r="T9" i="7" s="1"/>
  <c r="S8" i="7"/>
  <c r="S7" i="7"/>
  <c r="Q7" i="7"/>
  <c r="T7" i="7" s="1"/>
  <c r="S6" i="7"/>
  <c r="S5" i="7"/>
  <c r="Q5" i="7"/>
  <c r="N23" i="8"/>
  <c r="M23" i="8"/>
  <c r="L23" i="8"/>
  <c r="K23" i="8"/>
  <c r="J23" i="8"/>
  <c r="I23" i="8"/>
  <c r="J8" i="4"/>
  <c r="J7" i="4"/>
  <c r="I7" i="4"/>
  <c r="S4" i="7"/>
  <c r="Q4" i="7"/>
  <c r="J6" i="4"/>
  <c r="I6" i="4"/>
  <c r="H6" i="4"/>
  <c r="G6" i="4"/>
  <c r="F6" i="4"/>
  <c r="D6" i="4"/>
  <c r="J5" i="4"/>
  <c r="I5" i="4"/>
  <c r="H5" i="4"/>
  <c r="G5" i="4"/>
  <c r="F5" i="4"/>
  <c r="D5" i="4"/>
  <c r="J4" i="4"/>
  <c r="I4" i="4"/>
  <c r="F4" i="4"/>
  <c r="D4" i="4"/>
  <c r="J3" i="4"/>
  <c r="I3" i="4"/>
  <c r="H3" i="4"/>
  <c r="G3" i="4"/>
  <c r="F3" i="4"/>
  <c r="E3" i="4"/>
  <c r="D3" i="4"/>
  <c r="J2" i="4"/>
  <c r="I2" i="4"/>
  <c r="H2" i="4"/>
  <c r="G2" i="4"/>
  <c r="F2" i="4"/>
  <c r="D2" i="4"/>
  <c r="Q4" i="1"/>
  <c r="P4" i="1"/>
  <c r="Q3" i="1"/>
  <c r="P3" i="1"/>
  <c r="Q2" i="1"/>
  <c r="R2" i="1" s="1"/>
  <c r="P2" i="1"/>
  <c r="R3" i="1"/>
  <c r="R4" i="1"/>
  <c r="R4" i="2"/>
  <c r="P4" i="2"/>
  <c r="R3" i="2"/>
  <c r="P3" i="2"/>
  <c r="R2" i="2"/>
  <c r="Q2" i="2"/>
  <c r="P2" i="2"/>
  <c r="R4" i="3"/>
  <c r="Q4" i="3"/>
  <c r="R3" i="3"/>
  <c r="S3" i="3" s="1"/>
  <c r="Q3" i="3"/>
  <c r="R2" i="3"/>
  <c r="H4" i="4" s="1"/>
  <c r="Q2" i="3"/>
  <c r="S4" i="3"/>
  <c r="R4" i="5"/>
  <c r="Q4" i="5"/>
  <c r="S4" i="5" s="1"/>
  <c r="R3" i="5"/>
  <c r="Q3" i="5"/>
  <c r="R2" i="5"/>
  <c r="R4" i="6"/>
  <c r="Q4" i="6"/>
  <c r="S4" i="6" s="1"/>
  <c r="Q2" i="5"/>
  <c r="R3" i="6"/>
  <c r="R2" i="6"/>
  <c r="Q2" i="6"/>
  <c r="Q3" i="6"/>
  <c r="S3" i="6"/>
  <c r="E5" i="4"/>
  <c r="E6" i="4"/>
  <c r="E4" i="4"/>
  <c r="E2" i="4"/>
  <c r="G4" i="4"/>
  <c r="D8" i="4" l="1"/>
  <c r="E9" i="4"/>
  <c r="T5" i="7"/>
  <c r="T3" i="7"/>
  <c r="T2" i="7"/>
  <c r="F7" i="4" s="1"/>
  <c r="D7" i="4"/>
  <c r="H9" i="4"/>
  <c r="J9" i="4"/>
  <c r="Q8" i="7"/>
  <c r="T8" i="7" s="1"/>
  <c r="Q6" i="7"/>
  <c r="T6" i="7" s="1"/>
  <c r="G7" i="4"/>
  <c r="G9" i="4" s="1"/>
  <c r="S4" i="8"/>
  <c r="I8" i="4"/>
  <c r="I9" i="4" s="1"/>
  <c r="S3" i="8"/>
  <c r="S2" i="8"/>
  <c r="F8" i="4" s="1"/>
  <c r="T4" i="7"/>
  <c r="C3" i="4"/>
  <c r="S4" i="2"/>
  <c r="S2" i="2"/>
  <c r="S3" i="2"/>
  <c r="S3" i="5"/>
  <c r="C2" i="4"/>
  <c r="C6" i="4"/>
  <c r="S2" i="6"/>
  <c r="S2" i="5"/>
  <c r="C5" i="4"/>
  <c r="C4" i="4"/>
  <c r="S2" i="3"/>
  <c r="C7" i="4" l="1"/>
  <c r="D9" i="4"/>
  <c r="C8" i="4"/>
  <c r="F9" i="4"/>
  <c r="C9" i="4" l="1"/>
</calcChain>
</file>

<file path=xl/sharedStrings.xml><?xml version="1.0" encoding="utf-8"?>
<sst xmlns="http://schemas.openxmlformats.org/spreadsheetml/2006/main" count="799" uniqueCount="222">
  <si>
    <t>sarja</t>
  </si>
  <si>
    <t>päivä</t>
  </si>
  <si>
    <t>viikonpäivä</t>
  </si>
  <si>
    <t>Paikkakunta</t>
  </si>
  <si>
    <t>Sarja</t>
  </si>
  <si>
    <t>Tulos</t>
  </si>
  <si>
    <t>Eräpisteet</t>
  </si>
  <si>
    <t>pisteet</t>
  </si>
  <si>
    <t>U14</t>
  </si>
  <si>
    <t>Ke</t>
  </si>
  <si>
    <t>Tampere</t>
  </si>
  <si>
    <t>Paloniemi/
Katoperä</t>
  </si>
  <si>
    <t>Lind/
Peippo</t>
  </si>
  <si>
    <t>2-1</t>
  </si>
  <si>
    <t>21-18,18-21,15-11</t>
  </si>
  <si>
    <t>0-2</t>
  </si>
  <si>
    <t>13-21,18-21</t>
  </si>
  <si>
    <t>2-0</t>
  </si>
  <si>
    <t>21-5,21-4</t>
  </si>
  <si>
    <t>21-12,21-8</t>
  </si>
  <si>
    <t>17-21,21-19,15-10</t>
  </si>
  <si>
    <t>10-21,14-21</t>
  </si>
  <si>
    <t>Su</t>
  </si>
  <si>
    <t>Eura</t>
  </si>
  <si>
    <t>21-3,21-11</t>
  </si>
  <si>
    <t>21-7,21-8</t>
  </si>
  <si>
    <t>21-18,21-14</t>
  </si>
  <si>
    <t>21-7,21-2</t>
  </si>
  <si>
    <t>21-7,21-14</t>
  </si>
  <si>
    <t>1-2</t>
  </si>
  <si>
    <t>17-21,21-16,13-15</t>
  </si>
  <si>
    <t>U16</t>
  </si>
  <si>
    <t>Pe</t>
  </si>
  <si>
    <t>Jyväskylä</t>
  </si>
  <si>
    <t>8-21,12-21</t>
  </si>
  <si>
    <t>Katoperä/
Huttunen</t>
  </si>
  <si>
    <t>16-21,8-21</t>
  </si>
  <si>
    <t>1-1</t>
  </si>
  <si>
    <t>21-14,19-21</t>
  </si>
  <si>
    <t>14-21,21-17</t>
  </si>
  <si>
    <t>18-21,21-18,4-15</t>
  </si>
  <si>
    <t>Helsinki</t>
  </si>
  <si>
    <t>12-21,9-21</t>
  </si>
  <si>
    <t>10-21,5-21</t>
  </si>
  <si>
    <t>21-14,21-19</t>
  </si>
  <si>
    <t>17-21,12-21</t>
  </si>
  <si>
    <t>La</t>
  </si>
  <si>
    <t>Vaasa</t>
  </si>
  <si>
    <t>4-21,10-21</t>
  </si>
  <si>
    <t>7-21,14-21</t>
  </si>
  <si>
    <t>10-21,13-21</t>
  </si>
  <si>
    <t>Vantaa</t>
  </si>
  <si>
    <t>15-21,16-21</t>
  </si>
  <si>
    <t>8-21,13-21</t>
  </si>
  <si>
    <t>13-21,13-21</t>
  </si>
  <si>
    <t>Katoperä
Paloniemi</t>
  </si>
  <si>
    <t>Muut</t>
  </si>
  <si>
    <t>yhteensä</t>
  </si>
  <si>
    <t>eräpisteet</t>
  </si>
  <si>
    <t>Katoperä/
Sieppi</t>
  </si>
  <si>
    <t>kaudet</t>
  </si>
  <si>
    <t>kaikki ottelut</t>
  </si>
  <si>
    <t>ottelut voitto</t>
  </si>
  <si>
    <t>ottelut tasapeli</t>
  </si>
  <si>
    <t>ottelut tappio</t>
  </si>
  <si>
    <t>pisteet omat</t>
  </si>
  <si>
    <t>pisteet muut</t>
  </si>
  <si>
    <t>eräpisteet omat</t>
  </si>
  <si>
    <t>eräpisteet muut</t>
  </si>
  <si>
    <t>15-21,18-21</t>
  </si>
  <si>
    <t>21-18,17-21,12-15</t>
  </si>
  <si>
    <t>7-21,5-21</t>
  </si>
  <si>
    <t>Ti</t>
  </si>
  <si>
    <t>17-21,14-21</t>
  </si>
  <si>
    <t>11-21,21-23</t>
  </si>
  <si>
    <t>4-21,8-21</t>
  </si>
  <si>
    <t>22-20,21-15</t>
  </si>
  <si>
    <t>14-21,15-21</t>
  </si>
  <si>
    <t>Katoperä/Paloniemi</t>
  </si>
  <si>
    <t>21-6,21,3</t>
  </si>
  <si>
    <t>18-21,21-17,13-15</t>
  </si>
  <si>
    <t>14-21, 17-21</t>
  </si>
  <si>
    <t>To</t>
  </si>
  <si>
    <t>21-3,21-6</t>
  </si>
  <si>
    <t>17-21,18-21</t>
  </si>
  <si>
    <t>21-13,21-13</t>
  </si>
  <si>
    <t>8-21,15-21</t>
  </si>
  <si>
    <t>Hanko</t>
  </si>
  <si>
    <t>Uusitalo/Peippo</t>
  </si>
  <si>
    <t>15-21,14-21</t>
  </si>
  <si>
    <t>21-10,21-16</t>
  </si>
  <si>
    <t>21-18,28-26</t>
  </si>
  <si>
    <t>16-21,20-22</t>
  </si>
  <si>
    <t>21-14,21-13</t>
  </si>
  <si>
    <t>8-21,14-21</t>
  </si>
  <si>
    <t>21-16,21-16</t>
  </si>
  <si>
    <t>21-12,21-9</t>
  </si>
  <si>
    <t>14-21,16-21</t>
  </si>
  <si>
    <t>18-21,8-21</t>
  </si>
  <si>
    <t>U18</t>
  </si>
  <si>
    <t>Katoperä/
Paloniemi/Antola</t>
  </si>
  <si>
    <t>Katoperä/
Katoperä</t>
  </si>
  <si>
    <t>sijoitus</t>
  </si>
  <si>
    <t>17-21,17-21</t>
  </si>
  <si>
    <t>7-21,10-21</t>
  </si>
  <si>
    <t>10-21,11-21</t>
  </si>
  <si>
    <t>Turku</t>
  </si>
  <si>
    <t>Antila/Tuunainen</t>
  </si>
  <si>
    <t>12-21,18-21</t>
  </si>
  <si>
    <t>12-21,19-21</t>
  </si>
  <si>
    <t>14-21,20-22</t>
  </si>
  <si>
    <t>21-18.21-19</t>
  </si>
  <si>
    <t>21-4,21-8</t>
  </si>
  <si>
    <t>voitot</t>
  </si>
  <si>
    <t>tasapeli</t>
  </si>
  <si>
    <t>18-21,6-21</t>
  </si>
  <si>
    <t>10-21,10-21</t>
  </si>
  <si>
    <t>JNCT</t>
  </si>
  <si>
    <t>Hämeenlinna</t>
  </si>
  <si>
    <t>13-21,15-21</t>
  </si>
  <si>
    <t>15-21,11-21</t>
  </si>
  <si>
    <t>11-21,14-21</t>
  </si>
  <si>
    <t>Ma</t>
  </si>
  <si>
    <t>14-21,21-12</t>
  </si>
  <si>
    <t>24-22,21-15</t>
  </si>
  <si>
    <t>10-21,8-21</t>
  </si>
  <si>
    <t>21-19,21-14</t>
  </si>
  <si>
    <t>Katoperä/Setälä/Erkkonen</t>
  </si>
  <si>
    <t>Katoperä/
Antola</t>
  </si>
  <si>
    <t>28-26,21-14</t>
  </si>
  <si>
    <t>12-21,17-21</t>
  </si>
  <si>
    <t>20-22,18-21</t>
  </si>
  <si>
    <t>Mattila/
Laurila</t>
  </si>
  <si>
    <t>Vesanen/
Rainio</t>
  </si>
  <si>
    <t>Esko/
Kerman</t>
  </si>
  <si>
    <t>Laukkanen/
Sieppi</t>
  </si>
  <si>
    <t>Kuusipalo/
Isid</t>
  </si>
  <si>
    <t>Virkunen/
Schreibmaier</t>
  </si>
  <si>
    <t>Kuokkanen/
Hiitti</t>
  </si>
  <si>
    <t>Välimäki/
Roininen</t>
  </si>
  <si>
    <t>Ahonen/
Järvi-Laturi</t>
  </si>
  <si>
    <t>Nevala/
Virtanen</t>
  </si>
  <si>
    <t>Salmi/
Lietsala</t>
  </si>
  <si>
    <t>Marttila/
Välimäki</t>
  </si>
  <si>
    <t>Mattila/
Talvia</t>
  </si>
  <si>
    <t>Oivanen/
Holm</t>
  </si>
  <si>
    <t>Ruusumaa/
Kanerva</t>
  </si>
  <si>
    <t>Pöyhönen/
Peltonen</t>
  </si>
  <si>
    <t>Kerman/
Nykänen</t>
  </si>
  <si>
    <t>Nieminen/
Rapeli</t>
  </si>
  <si>
    <t>Riponiemi/
Laine</t>
  </si>
  <si>
    <t>Heimala/
Peltonen</t>
  </si>
  <si>
    <t>Huhta/
Kumpulainen</t>
  </si>
  <si>
    <t>Rainio/
Vesanen</t>
  </si>
  <si>
    <t>Katoperä/
Paloniemi</t>
  </si>
  <si>
    <t>Luoto/
Hakamäki</t>
  </si>
  <si>
    <t>Oivanen/
Nurminen</t>
  </si>
  <si>
    <t>Temisevä/
Ylitalo</t>
  </si>
  <si>
    <t>Rainio/
Välimäki</t>
  </si>
  <si>
    <t>Jokinen/
Mäenpää</t>
  </si>
  <si>
    <t>Peltonen/
Parkkisenniemi</t>
  </si>
  <si>
    <t>Uusitalo/
Peippo</t>
  </si>
  <si>
    <t>Hakala/
Peippo</t>
  </si>
  <si>
    <t>Rajala/
Tuunainen</t>
  </si>
  <si>
    <t>Heimala/
Lehiö</t>
  </si>
  <si>
    <t>Välimäki/
Vuorentausta</t>
  </si>
  <si>
    <t>Antikainen/
Puttonen</t>
  </si>
  <si>
    <t>Sieppi/
Syri</t>
  </si>
  <si>
    <t>Nurmi/
Keränen</t>
  </si>
  <si>
    <t>Kerman/
Peltonen</t>
  </si>
  <si>
    <t>Rapeli/
Vilenius</t>
  </si>
  <si>
    <t>Heimala/
Kerman</t>
  </si>
  <si>
    <t>Hakamäki/
Luoto</t>
  </si>
  <si>
    <t>Peippo/
Uusitalo</t>
  </si>
  <si>
    <t>Piispanen/
Vilokkinen</t>
  </si>
  <si>
    <t>Ruuska/
Nauha</t>
  </si>
  <si>
    <t>Heikkilä/
Kaustinen</t>
  </si>
  <si>
    <t>Katoperä/
Setälä</t>
  </si>
  <si>
    <t>Katoperä/
Erkkonen</t>
  </si>
  <si>
    <t>Sieppi/
Antola</t>
  </si>
  <si>
    <t>Vilokkinen/
Lassila</t>
  </si>
  <si>
    <t>Välimäki/
Tuunainen</t>
  </si>
  <si>
    <t>Antola/
Sieppi</t>
  </si>
  <si>
    <t>Lindell/
Heimonen</t>
  </si>
  <si>
    <t>Strang/
Päivärinta</t>
  </si>
  <si>
    <t>Tihinen/
Louhimaa</t>
  </si>
  <si>
    <t>Niskasaari/
Tihinen</t>
  </si>
  <si>
    <t>Rytkönen/
Delgado Florez</t>
  </si>
  <si>
    <t>Heikkilä/
Wickman</t>
  </si>
  <si>
    <t>Seppänen/
Mäkinen</t>
  </si>
  <si>
    <t>Viljamaa/
Kuikka</t>
  </si>
  <si>
    <t>Poikonen/
Saloranta</t>
  </si>
  <si>
    <t>Nevala/
Hietanen</t>
  </si>
  <si>
    <t>Harmanen/
Kuronen</t>
  </si>
  <si>
    <t>Roininen/
Peräsalo</t>
  </si>
  <si>
    <t>Hietsu Helsinki</t>
  </si>
  <si>
    <t>Kenttä/
Karjalainen</t>
  </si>
  <si>
    <t>Saarimaa/
Heinonen</t>
  </si>
  <si>
    <t>11-21,2-21</t>
  </si>
  <si>
    <t>Peippo/Peippo</t>
  </si>
  <si>
    <t>18-21,18-21</t>
  </si>
  <si>
    <t>Pöyhönen/
Mansikkala</t>
  </si>
  <si>
    <t>Uusitalo/
Wentus</t>
  </si>
  <si>
    <t>21-11,21-19</t>
  </si>
  <si>
    <t>9-21,12-21</t>
  </si>
  <si>
    <t>Kreivilä/
Valtanen</t>
  </si>
  <si>
    <t>21-10,18-21,15-5</t>
  </si>
  <si>
    <t>Nurminen/
Peippo</t>
  </si>
  <si>
    <t>20-22,21-18,15-9</t>
  </si>
  <si>
    <t>12-21,12-21</t>
  </si>
  <si>
    <t>Mäntylä/
Katoperä</t>
  </si>
  <si>
    <t>Ruusumaa/
Niemi</t>
  </si>
  <si>
    <t>Paajanen/
Puolakka</t>
  </si>
  <si>
    <t>8-21,22-24</t>
  </si>
  <si>
    <t>17-21,21-16,9-15</t>
  </si>
  <si>
    <t>Karkkila</t>
  </si>
  <si>
    <t>Katoperä/
Laukkanen</t>
  </si>
  <si>
    <t>Punnonen/
Häkkinen</t>
  </si>
  <si>
    <t>Heikkilä/Niemi</t>
  </si>
  <si>
    <t>21-19,19-21,6-15</t>
  </si>
  <si>
    <t>13-21,14-21</t>
  </si>
  <si>
    <t>Mattila/
Rajala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</si>
</sst>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&quot;m&quot;.&quot;yyyy"/>
    <numFmt numFmtId="165" formatCode="d&quot;.&quot;mmm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212529"/>
      <name val="Ubuntu"/>
      <family val="2"/>
    </font>
    <font>
      <sz val="10"/>
      <color rgb="FF000000"/>
      <name val="Ubuntu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0" fillId="0" borderId="1" xfId="0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17" fontId="0" fillId="4" borderId="1" xfId="0" applyNumberFormat="1" applyFill="1" applyBorder="1" applyAlignment="1">
      <alignment vertical="center"/>
    </xf>
    <xf numFmtId="49" fontId="0" fillId="4" borderId="1" xfId="0" quotePrefix="1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79A0-13B7-4FA6-8975-E321E6508099}">
  <dimension ref="A1:K9"/>
  <sheetViews>
    <sheetView workbookViewId="0">
      <selection activeCell="D21" sqref="D20:D21"/>
    </sheetView>
  </sheetViews>
  <sheetFormatPr defaultRowHeight="14.4" x14ac:dyDescent="0.3"/>
  <cols>
    <col min="1" max="11" width="10.77734375" customWidth="1"/>
  </cols>
  <sheetData>
    <row r="1" spans="1:11" ht="28.8" x14ac:dyDescent="0.3">
      <c r="A1" s="11" t="s">
        <v>4</v>
      </c>
      <c r="B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11" t="s">
        <v>67</v>
      </c>
      <c r="J1" s="11" t="s">
        <v>68</v>
      </c>
      <c r="K1" s="1"/>
    </row>
    <row r="2" spans="1:11" x14ac:dyDescent="0.3">
      <c r="A2" s="12" t="s">
        <v>8</v>
      </c>
      <c r="B2" s="12">
        <v>2023</v>
      </c>
      <c r="C2" s="12">
        <f t="shared" ref="C2:C8" si="0">SUM(D2:F2)</f>
        <v>12</v>
      </c>
      <c r="D2" s="12">
        <f>U14_2023!P2</f>
        <v>9</v>
      </c>
      <c r="E2" s="12">
        <f>U14_2023!J18</f>
        <v>0</v>
      </c>
      <c r="F2" s="12">
        <f>U14_2023!Q2</f>
        <v>3</v>
      </c>
      <c r="G2" s="12">
        <f>U14_2023!P3</f>
        <v>27</v>
      </c>
      <c r="H2" s="12">
        <f>U14_2023!Q3</f>
        <v>9</v>
      </c>
      <c r="I2" s="12">
        <f>U14_2023!P4</f>
        <v>507</v>
      </c>
      <c r="J2" s="12">
        <f>U14_2023!Q4</f>
        <v>356</v>
      </c>
    </row>
    <row r="3" spans="1:11" x14ac:dyDescent="0.3">
      <c r="A3" s="10" t="s">
        <v>31</v>
      </c>
      <c r="B3" s="10">
        <v>2023</v>
      </c>
      <c r="C3" s="10">
        <f t="shared" si="0"/>
        <v>12</v>
      </c>
      <c r="D3" s="10">
        <f>U16_2023!P2</f>
        <v>1</v>
      </c>
      <c r="E3" s="10">
        <f>U16_2023!Q2</f>
        <v>2</v>
      </c>
      <c r="F3" s="10">
        <f>U16_2023!R2</f>
        <v>9</v>
      </c>
      <c r="G3" s="10">
        <f>U16_2023!P3</f>
        <v>5</v>
      </c>
      <c r="H3" s="10">
        <f>U16_2023!R3</f>
        <v>29</v>
      </c>
      <c r="I3" s="10">
        <f>U16_2023!P4</f>
        <v>327</v>
      </c>
      <c r="J3" s="10">
        <f>U16_2023!R4</f>
        <v>496</v>
      </c>
    </row>
    <row r="4" spans="1:11" x14ac:dyDescent="0.3">
      <c r="A4" s="12" t="s">
        <v>31</v>
      </c>
      <c r="B4" s="12">
        <v>2024</v>
      </c>
      <c r="C4" s="12">
        <f t="shared" si="0"/>
        <v>12</v>
      </c>
      <c r="D4" s="12">
        <f>U16_2024!Q2</f>
        <v>1</v>
      </c>
      <c r="E4" s="12">
        <f>U16_2024!J23</f>
        <v>0</v>
      </c>
      <c r="F4" s="12">
        <f>U16_2024!R2</f>
        <v>11</v>
      </c>
      <c r="G4" s="12">
        <f>U16_2024!Q2</f>
        <v>1</v>
      </c>
      <c r="H4" s="12">
        <f>U16_2024!R2</f>
        <v>11</v>
      </c>
      <c r="I4" s="12">
        <f>U16_2024!Q4</f>
        <v>313</v>
      </c>
      <c r="J4" s="12">
        <f>U16_2024!R4</f>
        <v>467</v>
      </c>
    </row>
    <row r="5" spans="1:11" x14ac:dyDescent="0.3">
      <c r="A5" s="10" t="s">
        <v>31</v>
      </c>
      <c r="B5" s="10">
        <v>2025</v>
      </c>
      <c r="C5" s="10">
        <f t="shared" si="0"/>
        <v>27</v>
      </c>
      <c r="D5" s="10">
        <f>U16_2025!Q2</f>
        <v>12</v>
      </c>
      <c r="E5" s="10">
        <f>U16_2025!J31</f>
        <v>0</v>
      </c>
      <c r="F5" s="10">
        <f>U16_2025!R2</f>
        <v>15</v>
      </c>
      <c r="G5" s="10">
        <f>U16_2025!Q3</f>
        <v>36</v>
      </c>
      <c r="H5" s="10">
        <f>U16_2025!R3</f>
        <v>45</v>
      </c>
      <c r="I5" s="10">
        <f>U16_2025!Q4</f>
        <v>970</v>
      </c>
      <c r="J5" s="10">
        <f>U16_2025!R4</f>
        <v>927</v>
      </c>
    </row>
    <row r="6" spans="1:11" x14ac:dyDescent="0.3">
      <c r="A6" s="12" t="s">
        <v>99</v>
      </c>
      <c r="B6" s="12">
        <v>2025</v>
      </c>
      <c r="C6" s="12">
        <f t="shared" si="0"/>
        <v>3</v>
      </c>
      <c r="D6" s="12">
        <f>U18_2025!Q2</f>
        <v>0</v>
      </c>
      <c r="E6" s="12">
        <f>U18_2025!J23</f>
        <v>0</v>
      </c>
      <c r="F6" s="12">
        <f>U18_2025!R2</f>
        <v>3</v>
      </c>
      <c r="G6" s="12">
        <f>U18_2025!Q3</f>
        <v>0</v>
      </c>
      <c r="H6" s="12">
        <f>U18_2025!R3</f>
        <v>9</v>
      </c>
      <c r="I6" s="12">
        <f>U18_2025!Q4</f>
        <v>72</v>
      </c>
      <c r="J6" s="12">
        <f>U18_2025!R4</f>
        <v>126</v>
      </c>
    </row>
    <row r="7" spans="1:11" x14ac:dyDescent="0.3">
      <c r="A7" s="10" t="s">
        <v>99</v>
      </c>
      <c r="B7" s="10">
        <v>2026</v>
      </c>
      <c r="C7" s="10">
        <f t="shared" si="0"/>
        <v>25</v>
      </c>
      <c r="D7" s="10">
        <f>U18_2026!Q2</f>
        <v>6</v>
      </c>
      <c r="E7" s="10">
        <f>U18_2026!R2</f>
        <v>1</v>
      </c>
      <c r="F7" s="10">
        <f>U18_2026!T2</f>
        <v>18</v>
      </c>
      <c r="G7" s="10">
        <f>U18_2026!Q3</f>
        <v>17</v>
      </c>
      <c r="H7" s="10">
        <f>U18_2026!S3</f>
        <v>34</v>
      </c>
      <c r="I7" s="10">
        <f>U18_2026!Q4</f>
        <v>78</v>
      </c>
      <c r="J7" s="10">
        <f>U18_2026!S4</f>
        <v>127</v>
      </c>
    </row>
    <row r="8" spans="1:11" x14ac:dyDescent="0.3">
      <c r="A8" s="12" t="s">
        <v>117</v>
      </c>
      <c r="B8" s="12">
        <v>2026</v>
      </c>
      <c r="C8" s="12">
        <f t="shared" si="0"/>
        <v>9</v>
      </c>
      <c r="D8" s="12">
        <f>JNCT_2026!Q3</f>
        <v>0</v>
      </c>
      <c r="E8" s="12">
        <v>0</v>
      </c>
      <c r="F8" s="12">
        <f>JNCT_2026!S2</f>
        <v>9</v>
      </c>
      <c r="G8" s="12">
        <f>JNCT_2026!Q3</f>
        <v>0</v>
      </c>
      <c r="H8" s="12">
        <f>JNCT_2026!R3</f>
        <v>27</v>
      </c>
      <c r="I8" s="12">
        <f>JNCT_2026!Q4</f>
        <v>260</v>
      </c>
      <c r="J8" s="12">
        <f>JNCT_2026!R4</f>
        <v>391</v>
      </c>
    </row>
    <row r="9" spans="1:11" s="6" customFormat="1" x14ac:dyDescent="0.3">
      <c r="A9" s="33" t="s">
        <v>57</v>
      </c>
      <c r="B9" s="33"/>
      <c r="C9" s="33">
        <f>SUM(C2:C8)</f>
        <v>100</v>
      </c>
      <c r="D9" s="33">
        <f t="shared" ref="D9:J9" si="1">SUM(D2:D8)</f>
        <v>29</v>
      </c>
      <c r="E9" s="33">
        <f t="shared" si="1"/>
        <v>3</v>
      </c>
      <c r="F9" s="33">
        <f t="shared" si="1"/>
        <v>68</v>
      </c>
      <c r="G9" s="33">
        <f t="shared" si="1"/>
        <v>86</v>
      </c>
      <c r="H9" s="33">
        <f t="shared" si="1"/>
        <v>164</v>
      </c>
      <c r="I9" s="33">
        <f t="shared" si="1"/>
        <v>2527</v>
      </c>
      <c r="J9" s="33">
        <f t="shared" si="1"/>
        <v>2890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0EE1-38A3-4036-A726-70F3B327C0F1}">
  <dimension ref="A1:S23"/>
  <sheetViews>
    <sheetView workbookViewId="0">
      <selection activeCell="B14" sqref="B14"/>
    </sheetView>
  </sheetViews>
  <sheetFormatPr defaultRowHeight="14.4" x14ac:dyDescent="0.3"/>
  <cols>
    <col min="1" max="3" width="10.77734375" customWidth="1"/>
    <col min="4" max="6" width="14.77734375" customWidth="1"/>
    <col min="7" max="7" width="10.77734375" customWidth="1"/>
    <col min="8" max="8" width="14.77734375" customWidth="1"/>
    <col min="9" max="19" width="10.77734375" customWidth="1"/>
  </cols>
  <sheetData>
    <row r="1" spans="1:19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5"/>
      <c r="G1" s="11" t="s">
        <v>5</v>
      </c>
      <c r="H1" s="11" t="s">
        <v>6</v>
      </c>
      <c r="I1" s="11">
        <v>3</v>
      </c>
      <c r="J1" s="11">
        <v>2</v>
      </c>
      <c r="K1" s="11">
        <v>1</v>
      </c>
      <c r="L1" s="11">
        <v>0</v>
      </c>
      <c r="M1" s="11" t="s">
        <v>7</v>
      </c>
      <c r="N1" s="11" t="s">
        <v>7</v>
      </c>
      <c r="O1" s="15" t="s">
        <v>102</v>
      </c>
      <c r="P1" s="15"/>
      <c r="Q1" s="11" t="s">
        <v>128</v>
      </c>
      <c r="R1" s="11" t="s">
        <v>56</v>
      </c>
      <c r="S1" s="11" t="s">
        <v>57</v>
      </c>
    </row>
    <row r="2" spans="1:19" ht="28.8" x14ac:dyDescent="0.3">
      <c r="A2" s="12" t="s">
        <v>117</v>
      </c>
      <c r="B2" s="16">
        <v>46200</v>
      </c>
      <c r="C2" s="12" t="s">
        <v>46</v>
      </c>
      <c r="D2" s="12" t="s">
        <v>118</v>
      </c>
      <c r="E2" s="12" t="s">
        <v>128</v>
      </c>
      <c r="F2" s="12" t="s">
        <v>187</v>
      </c>
      <c r="G2" s="17" t="s">
        <v>15</v>
      </c>
      <c r="H2" s="12" t="s">
        <v>121</v>
      </c>
      <c r="I2" s="12"/>
      <c r="J2" s="12"/>
      <c r="K2" s="12"/>
      <c r="L2" s="12">
        <v>1</v>
      </c>
      <c r="M2" s="12">
        <v>25</v>
      </c>
      <c r="N2" s="12">
        <v>42</v>
      </c>
      <c r="O2" s="12"/>
      <c r="P2" s="18" t="s">
        <v>113</v>
      </c>
      <c r="Q2" s="12">
        <f>SUM(I2:I12)</f>
        <v>0</v>
      </c>
      <c r="R2" s="12">
        <f>SUM(L2:L12)</f>
        <v>9</v>
      </c>
      <c r="S2" s="12">
        <f>SUM(Q2:R2)</f>
        <v>9</v>
      </c>
    </row>
    <row r="3" spans="1:19" ht="28.8" x14ac:dyDescent="0.3">
      <c r="A3" s="30" t="s">
        <v>117</v>
      </c>
      <c r="B3" s="32">
        <v>46200</v>
      </c>
      <c r="C3" s="30" t="s">
        <v>46</v>
      </c>
      <c r="D3" s="30" t="s">
        <v>118</v>
      </c>
      <c r="E3" s="30" t="s">
        <v>128</v>
      </c>
      <c r="F3" s="10" t="s">
        <v>188</v>
      </c>
      <c r="G3" s="14" t="s">
        <v>15</v>
      </c>
      <c r="H3" s="10" t="s">
        <v>120</v>
      </c>
      <c r="I3" s="10"/>
      <c r="J3" s="10"/>
      <c r="K3" s="10"/>
      <c r="L3" s="10">
        <v>1</v>
      </c>
      <c r="M3" s="10">
        <v>26</v>
      </c>
      <c r="N3" s="10">
        <v>42</v>
      </c>
      <c r="O3" s="10"/>
      <c r="P3" s="29" t="s">
        <v>7</v>
      </c>
      <c r="Q3" s="30">
        <f>SUM(I2:I12)*3+SUM(J2:J12)</f>
        <v>0</v>
      </c>
      <c r="R3" s="30">
        <f>SUM(K2:K12)*1+SUM(L2:L12)*3</f>
        <v>27</v>
      </c>
      <c r="S3" s="30">
        <f>SUM(Q3:R3)</f>
        <v>27</v>
      </c>
    </row>
    <row r="4" spans="1:19" ht="28.8" x14ac:dyDescent="0.3">
      <c r="A4" s="12" t="s">
        <v>117</v>
      </c>
      <c r="B4" s="16">
        <v>46200</v>
      </c>
      <c r="C4" s="12" t="s">
        <v>46</v>
      </c>
      <c r="D4" s="12" t="s">
        <v>118</v>
      </c>
      <c r="E4" s="12" t="s">
        <v>128</v>
      </c>
      <c r="F4" s="12" t="s">
        <v>189</v>
      </c>
      <c r="G4" s="21" t="s">
        <v>15</v>
      </c>
      <c r="H4" s="19" t="s">
        <v>119</v>
      </c>
      <c r="I4" s="19"/>
      <c r="J4" s="19"/>
      <c r="K4" s="19"/>
      <c r="L4" s="19">
        <v>1</v>
      </c>
      <c r="M4" s="19">
        <v>28</v>
      </c>
      <c r="N4" s="19">
        <v>42</v>
      </c>
      <c r="O4" s="19">
        <v>5</v>
      </c>
      <c r="P4" s="18" t="s">
        <v>58</v>
      </c>
      <c r="Q4" s="12">
        <f>SUM(M2:M12)</f>
        <v>260</v>
      </c>
      <c r="R4" s="12">
        <f>SUM(N2:N12)</f>
        <v>391</v>
      </c>
      <c r="S4" s="12">
        <f>SUM(Q4:R4)</f>
        <v>651</v>
      </c>
    </row>
    <row r="5" spans="1:19" ht="28.8" x14ac:dyDescent="0.3">
      <c r="A5" s="30" t="s">
        <v>117</v>
      </c>
      <c r="B5" s="32">
        <v>46205</v>
      </c>
      <c r="C5" s="30" t="s">
        <v>82</v>
      </c>
      <c r="D5" s="30" t="s">
        <v>195</v>
      </c>
      <c r="E5" s="30" t="s">
        <v>101</v>
      </c>
      <c r="F5" s="10" t="s">
        <v>196</v>
      </c>
      <c r="G5" s="14" t="s">
        <v>15</v>
      </c>
      <c r="H5" s="10" t="s">
        <v>36</v>
      </c>
      <c r="I5" s="10"/>
      <c r="J5" s="10"/>
      <c r="K5" s="10"/>
      <c r="L5" s="10">
        <v>1</v>
      </c>
      <c r="M5" s="10">
        <v>24</v>
      </c>
      <c r="N5" s="10">
        <v>42</v>
      </c>
      <c r="O5" s="10"/>
      <c r="P5" s="29"/>
      <c r="Q5" s="30"/>
      <c r="R5" s="30"/>
      <c r="S5" s="30"/>
    </row>
    <row r="6" spans="1:19" ht="28.8" x14ac:dyDescent="0.3">
      <c r="A6" s="12" t="s">
        <v>117</v>
      </c>
      <c r="B6" s="16">
        <v>46205</v>
      </c>
      <c r="C6" s="12" t="s">
        <v>46</v>
      </c>
      <c r="D6" s="12" t="s">
        <v>195</v>
      </c>
      <c r="E6" s="12" t="s">
        <v>101</v>
      </c>
      <c r="F6" s="12" t="s">
        <v>197</v>
      </c>
      <c r="G6" s="21" t="s">
        <v>15</v>
      </c>
      <c r="H6" s="19" t="s">
        <v>198</v>
      </c>
      <c r="I6" s="19"/>
      <c r="J6" s="19"/>
      <c r="K6" s="19"/>
      <c r="L6" s="19">
        <v>1</v>
      </c>
      <c r="M6" s="19">
        <v>13</v>
      </c>
      <c r="N6" s="19">
        <v>42</v>
      </c>
      <c r="O6" s="19"/>
      <c r="P6" s="18"/>
      <c r="Q6" s="12"/>
      <c r="R6" s="12"/>
      <c r="S6" s="12"/>
    </row>
    <row r="7" spans="1:19" ht="28.8" x14ac:dyDescent="0.3">
      <c r="A7" s="30" t="s">
        <v>117</v>
      </c>
      <c r="B7" s="32">
        <v>46205</v>
      </c>
      <c r="C7" s="30" t="s">
        <v>82</v>
      </c>
      <c r="D7" s="30" t="s">
        <v>195</v>
      </c>
      <c r="E7" s="30" t="s">
        <v>101</v>
      </c>
      <c r="F7" s="10" t="s">
        <v>199</v>
      </c>
      <c r="G7" s="14" t="s">
        <v>15</v>
      </c>
      <c r="H7" s="10" t="s">
        <v>200</v>
      </c>
      <c r="I7" s="10"/>
      <c r="J7" s="10"/>
      <c r="K7" s="10"/>
      <c r="L7" s="10">
        <v>1</v>
      </c>
      <c r="M7" s="10">
        <v>36</v>
      </c>
      <c r="N7" s="10">
        <v>42</v>
      </c>
      <c r="O7" s="10">
        <v>17</v>
      </c>
      <c r="P7" s="29"/>
      <c r="Q7" s="30"/>
      <c r="R7" s="30"/>
      <c r="S7" s="30"/>
    </row>
    <row r="8" spans="1:19" ht="28.8" x14ac:dyDescent="0.3">
      <c r="A8" s="12" t="s">
        <v>117</v>
      </c>
      <c r="B8" s="16">
        <v>46234</v>
      </c>
      <c r="C8" s="12" t="s">
        <v>32</v>
      </c>
      <c r="D8" s="12" t="s">
        <v>118</v>
      </c>
      <c r="E8" s="12" t="s">
        <v>210</v>
      </c>
      <c r="F8" s="12" t="s">
        <v>211</v>
      </c>
      <c r="G8" s="21" t="s">
        <v>15</v>
      </c>
      <c r="H8" s="19" t="s">
        <v>213</v>
      </c>
      <c r="I8" s="19"/>
      <c r="J8" s="19"/>
      <c r="K8" s="19"/>
      <c r="L8" s="19">
        <v>1</v>
      </c>
      <c r="M8" s="19">
        <v>30</v>
      </c>
      <c r="N8" s="19">
        <v>45</v>
      </c>
      <c r="O8" s="19"/>
      <c r="P8" s="18"/>
      <c r="Q8" s="12"/>
      <c r="R8" s="12"/>
      <c r="S8" s="12"/>
    </row>
    <row r="9" spans="1:19" ht="28.8" x14ac:dyDescent="0.3">
      <c r="A9" s="30" t="s">
        <v>117</v>
      </c>
      <c r="B9" s="32">
        <v>46234</v>
      </c>
      <c r="C9" s="30" t="s">
        <v>32</v>
      </c>
      <c r="D9" s="30" t="s">
        <v>118</v>
      </c>
      <c r="E9" s="30" t="s">
        <v>210</v>
      </c>
      <c r="F9" s="10" t="s">
        <v>212</v>
      </c>
      <c r="G9" s="14" t="s">
        <v>15</v>
      </c>
      <c r="H9" s="10" t="s">
        <v>52</v>
      </c>
      <c r="I9" s="10"/>
      <c r="J9" s="10"/>
      <c r="K9" s="10"/>
      <c r="L9" s="10">
        <v>1</v>
      </c>
      <c r="M9" s="10">
        <v>31</v>
      </c>
      <c r="N9" s="10">
        <v>42</v>
      </c>
      <c r="O9" s="10"/>
      <c r="P9" s="29"/>
      <c r="Q9" s="30"/>
      <c r="R9" s="30"/>
      <c r="S9" s="30"/>
    </row>
    <row r="10" spans="1:19" ht="28.8" x14ac:dyDescent="0.3">
      <c r="A10" s="12" t="s">
        <v>117</v>
      </c>
      <c r="B10" s="16">
        <v>46234</v>
      </c>
      <c r="C10" s="12" t="s">
        <v>32</v>
      </c>
      <c r="D10" s="12" t="s">
        <v>118</v>
      </c>
      <c r="E10" s="12" t="s">
        <v>210</v>
      </c>
      <c r="F10" s="12" t="s">
        <v>189</v>
      </c>
      <c r="G10" s="21" t="s">
        <v>29</v>
      </c>
      <c r="H10" s="19" t="s">
        <v>214</v>
      </c>
      <c r="I10" s="19"/>
      <c r="J10" s="19"/>
      <c r="K10" s="19"/>
      <c r="L10" s="19">
        <v>1</v>
      </c>
      <c r="M10" s="19">
        <v>47</v>
      </c>
      <c r="N10" s="19">
        <v>52</v>
      </c>
      <c r="O10" s="19"/>
      <c r="P10" s="18"/>
      <c r="Q10" s="12"/>
      <c r="R10" s="12"/>
      <c r="S10" s="12"/>
    </row>
    <row r="11" spans="1:19" ht="28.8" x14ac:dyDescent="0.3">
      <c r="A11" s="30" t="s">
        <v>117</v>
      </c>
      <c r="B11" s="32">
        <v>46243</v>
      </c>
      <c r="C11" s="30" t="s">
        <v>22</v>
      </c>
      <c r="D11" s="30" t="s">
        <v>215</v>
      </c>
      <c r="E11" s="30" t="s">
        <v>210</v>
      </c>
      <c r="F11" s="10"/>
      <c r="G11" s="14"/>
      <c r="H11" s="10"/>
      <c r="I11" s="10"/>
      <c r="J11" s="10"/>
      <c r="K11" s="10"/>
      <c r="L11" s="10"/>
      <c r="M11" s="10"/>
      <c r="N11" s="10"/>
      <c r="O11" s="10"/>
      <c r="P11" s="29"/>
      <c r="Q11" s="30"/>
      <c r="R11" s="30"/>
      <c r="S11" s="30"/>
    </row>
    <row r="12" spans="1:19" ht="28.8" x14ac:dyDescent="0.3">
      <c r="A12" s="12" t="s">
        <v>117</v>
      </c>
      <c r="B12" s="16">
        <v>46243</v>
      </c>
      <c r="C12" s="12" t="s">
        <v>22</v>
      </c>
      <c r="D12" s="12" t="s">
        <v>215</v>
      </c>
      <c r="E12" s="12" t="s">
        <v>210</v>
      </c>
      <c r="F12" s="12"/>
      <c r="G12" s="21"/>
      <c r="H12" s="19"/>
      <c r="I12" s="19"/>
      <c r="J12" s="19"/>
      <c r="K12" s="19"/>
      <c r="L12" s="19"/>
      <c r="M12" s="19"/>
      <c r="N12" s="19"/>
      <c r="O12" s="19"/>
      <c r="P12" s="18"/>
      <c r="Q12" s="12"/>
      <c r="R12" s="12"/>
      <c r="S12" s="12"/>
    </row>
    <row r="13" spans="1:19" ht="28.8" x14ac:dyDescent="0.3">
      <c r="A13" s="30" t="s">
        <v>117</v>
      </c>
      <c r="B13" s="32">
        <v>46243</v>
      </c>
      <c r="C13" s="30" t="s">
        <v>22</v>
      </c>
      <c r="D13" s="30" t="s">
        <v>215</v>
      </c>
      <c r="E13" s="30" t="s">
        <v>210</v>
      </c>
      <c r="F13" s="10"/>
      <c r="G13" s="14"/>
      <c r="H13" s="10"/>
      <c r="I13" s="10"/>
      <c r="J13" s="10"/>
      <c r="K13" s="10"/>
      <c r="L13" s="10"/>
      <c r="M13" s="10"/>
      <c r="N13" s="10"/>
      <c r="O13" s="10"/>
      <c r="P13" s="29"/>
      <c r="Q13" s="30"/>
      <c r="R13" s="30"/>
      <c r="S13" s="30"/>
    </row>
    <row r="14" spans="1:19" x14ac:dyDescent="0.3">
      <c r="A14" s="12" t="s">
        <v>117</v>
      </c>
      <c r="B14" s="16"/>
      <c r="C14" s="12"/>
      <c r="D14" s="12"/>
      <c r="E14" s="12"/>
      <c r="F14" s="12"/>
      <c r="G14" s="21"/>
      <c r="H14" s="19"/>
      <c r="I14" s="19"/>
      <c r="J14" s="19"/>
      <c r="K14" s="19"/>
      <c r="L14" s="19"/>
      <c r="M14" s="19"/>
      <c r="N14" s="19"/>
      <c r="O14" s="19"/>
      <c r="P14" s="18"/>
      <c r="Q14" s="12"/>
      <c r="R14" s="12"/>
      <c r="S14" s="12"/>
    </row>
    <row r="15" spans="1:19" x14ac:dyDescent="0.3">
      <c r="A15" s="30" t="s">
        <v>117</v>
      </c>
      <c r="B15" s="32"/>
      <c r="C15" s="30"/>
      <c r="D15" s="30"/>
      <c r="E15" s="30"/>
      <c r="F15" s="10"/>
      <c r="G15" s="14"/>
      <c r="H15" s="10"/>
      <c r="I15" s="10"/>
      <c r="J15" s="10"/>
      <c r="K15" s="10"/>
      <c r="L15" s="10"/>
      <c r="M15" s="10"/>
      <c r="N15" s="10"/>
      <c r="O15" s="10"/>
      <c r="P15" s="29"/>
      <c r="Q15" s="30"/>
      <c r="R15" s="30"/>
      <c r="S15" s="30"/>
    </row>
    <row r="16" spans="1:19" x14ac:dyDescent="0.3">
      <c r="B16" s="9"/>
      <c r="E16" s="3"/>
      <c r="G16" s="4"/>
    </row>
    <row r="17" spans="2:14" x14ac:dyDescent="0.3">
      <c r="B17" s="9"/>
      <c r="E17" s="3"/>
      <c r="G17" s="4"/>
    </row>
    <row r="18" spans="2:14" x14ac:dyDescent="0.3">
      <c r="B18" s="9"/>
      <c r="E18" s="3"/>
      <c r="G18" s="4"/>
    </row>
    <row r="19" spans="2:14" x14ac:dyDescent="0.3">
      <c r="B19" s="9"/>
      <c r="E19" s="3"/>
      <c r="G19" s="4"/>
    </row>
    <row r="20" spans="2:14" x14ac:dyDescent="0.3">
      <c r="B20" s="9"/>
      <c r="E20" s="3"/>
      <c r="G20" s="4"/>
    </row>
    <row r="23" spans="2:14" x14ac:dyDescent="0.3">
      <c r="I23">
        <f t="shared" ref="I23:N23" si="0">SUM(I2:I22)</f>
        <v>0</v>
      </c>
      <c r="J23">
        <f t="shared" si="0"/>
        <v>0</v>
      </c>
      <c r="K23">
        <f t="shared" si="0"/>
        <v>0</v>
      </c>
      <c r="L23">
        <f t="shared" si="0"/>
        <v>9</v>
      </c>
      <c r="M23">
        <f t="shared" si="0"/>
        <v>260</v>
      </c>
      <c r="N23">
        <f t="shared" si="0"/>
        <v>391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10B0-3E0B-4898-AAC4-7FE75765F048}">
  <dimension ref="A1:T20"/>
  <sheetViews>
    <sheetView tabSelected="1" topLeftCell="E9" zoomScaleNormal="100" workbookViewId="0">
      <selection activeCell="P18" sqref="P18"/>
    </sheetView>
  </sheetViews>
  <sheetFormatPr defaultRowHeight="14.4" x14ac:dyDescent="0.3"/>
  <cols>
    <col min="1" max="3" width="10.77734375" customWidth="1"/>
    <col min="4" max="6" width="14.77734375" customWidth="1"/>
    <col min="7" max="7" width="10.77734375" customWidth="1"/>
    <col min="8" max="8" width="14.77734375" customWidth="1"/>
    <col min="9" max="20" width="10.77734375" customWidth="1"/>
  </cols>
  <sheetData>
    <row r="1" spans="1:20" ht="43.2" x14ac:dyDescent="0.3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5"/>
      <c r="G1" s="11" t="s">
        <v>5</v>
      </c>
      <c r="H1" s="11" t="s">
        <v>6</v>
      </c>
      <c r="I1" s="11">
        <v>3</v>
      </c>
      <c r="J1" s="11">
        <v>2</v>
      </c>
      <c r="K1" s="11">
        <v>1</v>
      </c>
      <c r="L1" s="11">
        <v>0</v>
      </c>
      <c r="M1" s="11" t="s">
        <v>7</v>
      </c>
      <c r="N1" s="11" t="s">
        <v>7</v>
      </c>
      <c r="O1" s="15" t="s">
        <v>102</v>
      </c>
      <c r="P1" s="15"/>
      <c r="Q1" s="11" t="s">
        <v>127</v>
      </c>
      <c r="R1" s="11" t="s">
        <v>114</v>
      </c>
      <c r="S1" s="11" t="s">
        <v>56</v>
      </c>
      <c r="T1" s="11" t="s">
        <v>57</v>
      </c>
    </row>
    <row r="2" spans="1:20" ht="28.8" x14ac:dyDescent="0.3">
      <c r="A2" s="12" t="s">
        <v>99</v>
      </c>
      <c r="B2" s="16">
        <v>46189</v>
      </c>
      <c r="C2" s="12" t="s">
        <v>72</v>
      </c>
      <c r="D2" s="12" t="s">
        <v>10</v>
      </c>
      <c r="E2" s="12" t="s">
        <v>177</v>
      </c>
      <c r="F2" s="12" t="s">
        <v>179</v>
      </c>
      <c r="G2" s="17" t="s">
        <v>15</v>
      </c>
      <c r="H2" s="12" t="s">
        <v>110</v>
      </c>
      <c r="I2" s="12"/>
      <c r="J2" s="12"/>
      <c r="K2" s="12"/>
      <c r="L2" s="12">
        <v>1</v>
      </c>
      <c r="M2" s="12">
        <v>34</v>
      </c>
      <c r="N2" s="12">
        <v>43</v>
      </c>
      <c r="O2" s="12"/>
      <c r="P2" s="18" t="s">
        <v>113</v>
      </c>
      <c r="Q2" s="12">
        <f>SUM(I2:I20)+SUM(J2:J20)</f>
        <v>6</v>
      </c>
      <c r="R2" s="12">
        <f>SUM(K2:K20)</f>
        <v>1</v>
      </c>
      <c r="S2" s="12">
        <f>SUM(L2:L20)</f>
        <v>11</v>
      </c>
      <c r="T2" s="12">
        <f t="shared" ref="T2:T9" si="0">SUM(Q2:S2)</f>
        <v>18</v>
      </c>
    </row>
    <row r="3" spans="1:20" ht="28.8" x14ac:dyDescent="0.3">
      <c r="A3" s="10" t="s">
        <v>99</v>
      </c>
      <c r="B3" s="32">
        <v>46189</v>
      </c>
      <c r="C3" s="30" t="s">
        <v>72</v>
      </c>
      <c r="D3" s="30" t="s">
        <v>10</v>
      </c>
      <c r="E3" s="30" t="s">
        <v>177</v>
      </c>
      <c r="F3" s="10" t="s">
        <v>180</v>
      </c>
      <c r="G3" s="14" t="s">
        <v>15</v>
      </c>
      <c r="H3" s="10" t="s">
        <v>116</v>
      </c>
      <c r="I3" s="10"/>
      <c r="J3" s="10"/>
      <c r="K3" s="10"/>
      <c r="L3" s="10">
        <v>1</v>
      </c>
      <c r="M3" s="10">
        <v>20</v>
      </c>
      <c r="N3" s="10">
        <v>42</v>
      </c>
      <c r="O3" s="10"/>
      <c r="P3" s="29" t="s">
        <v>7</v>
      </c>
      <c r="Q3" s="30">
        <f>SUM(I2:I20)*3+SUM(J2:J20)*2+SUM(K2:K20)</f>
        <v>17</v>
      </c>
      <c r="R3" s="30"/>
      <c r="S3" s="30">
        <f>SUM(K2:K20)*1+SUM(L2:L20)*3</f>
        <v>34</v>
      </c>
      <c r="T3" s="30">
        <f t="shared" si="0"/>
        <v>51</v>
      </c>
    </row>
    <row r="4" spans="1:20" ht="28.8" x14ac:dyDescent="0.3">
      <c r="A4" s="19" t="s">
        <v>99</v>
      </c>
      <c r="B4" s="16">
        <v>46189</v>
      </c>
      <c r="C4" s="12" t="s">
        <v>72</v>
      </c>
      <c r="D4" s="12" t="s">
        <v>10</v>
      </c>
      <c r="E4" s="12" t="s">
        <v>177</v>
      </c>
      <c r="F4" s="12" t="s">
        <v>181</v>
      </c>
      <c r="G4" s="21" t="s">
        <v>15</v>
      </c>
      <c r="H4" s="19" t="s">
        <v>115</v>
      </c>
      <c r="I4" s="19"/>
      <c r="J4" s="19"/>
      <c r="K4" s="19"/>
      <c r="L4" s="19">
        <v>1</v>
      </c>
      <c r="M4" s="19">
        <v>24</v>
      </c>
      <c r="N4" s="19">
        <v>42</v>
      </c>
      <c r="O4" s="19">
        <v>9</v>
      </c>
      <c r="P4" s="18" t="s">
        <v>58</v>
      </c>
      <c r="Q4" s="12">
        <f>SUM(M2:M4)</f>
        <v>78</v>
      </c>
      <c r="R4" s="12"/>
      <c r="S4" s="12">
        <f>SUM(N2:N4)</f>
        <v>127</v>
      </c>
      <c r="T4" s="12">
        <f t="shared" si="0"/>
        <v>205</v>
      </c>
    </row>
    <row r="5" spans="1:20" ht="28.8" x14ac:dyDescent="0.3">
      <c r="A5" s="30" t="s">
        <v>99</v>
      </c>
      <c r="B5" s="32">
        <v>46202</v>
      </c>
      <c r="C5" s="30" t="s">
        <v>122</v>
      </c>
      <c r="D5" s="30" t="s">
        <v>33</v>
      </c>
      <c r="E5" s="30" t="s">
        <v>178</v>
      </c>
      <c r="F5" s="30" t="s">
        <v>182</v>
      </c>
      <c r="G5" s="34" t="s">
        <v>37</v>
      </c>
      <c r="H5" s="30" t="s">
        <v>123</v>
      </c>
      <c r="I5" s="30"/>
      <c r="J5" s="30"/>
      <c r="K5" s="30">
        <v>1</v>
      </c>
      <c r="L5" s="30"/>
      <c r="M5" s="30">
        <v>35</v>
      </c>
      <c r="N5" s="30">
        <v>33</v>
      </c>
      <c r="O5" s="30"/>
      <c r="P5" s="29" t="s">
        <v>113</v>
      </c>
      <c r="Q5" s="30">
        <f>SUM(I5:I7)</f>
        <v>0</v>
      </c>
      <c r="R5" s="30"/>
      <c r="S5" s="30">
        <f>SUM(L5:L7)</f>
        <v>1</v>
      </c>
      <c r="T5" s="30">
        <f t="shared" si="0"/>
        <v>1</v>
      </c>
    </row>
    <row r="6" spans="1:20" ht="28.8" x14ac:dyDescent="0.3">
      <c r="A6" s="12" t="s">
        <v>99</v>
      </c>
      <c r="B6" s="16">
        <v>46202</v>
      </c>
      <c r="C6" s="12" t="s">
        <v>122</v>
      </c>
      <c r="D6" s="12" t="s">
        <v>33</v>
      </c>
      <c r="E6" s="12" t="s">
        <v>178</v>
      </c>
      <c r="F6" s="12" t="s">
        <v>183</v>
      </c>
      <c r="G6" s="17" t="s">
        <v>17</v>
      </c>
      <c r="H6" s="12" t="s">
        <v>124</v>
      </c>
      <c r="I6" s="12"/>
      <c r="J6" s="12">
        <v>1</v>
      </c>
      <c r="K6" s="12"/>
      <c r="L6" s="12"/>
      <c r="M6" s="12">
        <v>45</v>
      </c>
      <c r="N6" s="12">
        <v>37</v>
      </c>
      <c r="O6" s="12"/>
      <c r="P6" s="18" t="s">
        <v>7</v>
      </c>
      <c r="Q6" s="12">
        <f>SUM(I6:I24)*3+SUM(J6:J24)</f>
        <v>14</v>
      </c>
      <c r="R6" s="12"/>
      <c r="S6" s="12">
        <f>SUM(K5:K7)*1+SUM(L5:L7)*3</f>
        <v>4</v>
      </c>
      <c r="T6" s="12">
        <f t="shared" si="0"/>
        <v>18</v>
      </c>
    </row>
    <row r="7" spans="1:20" ht="28.8" x14ac:dyDescent="0.3">
      <c r="A7" s="35" t="s">
        <v>99</v>
      </c>
      <c r="B7" s="32">
        <v>46202</v>
      </c>
      <c r="C7" s="30" t="s">
        <v>122</v>
      </c>
      <c r="D7" s="30" t="s">
        <v>33</v>
      </c>
      <c r="E7" s="30" t="s">
        <v>178</v>
      </c>
      <c r="F7" s="30" t="s">
        <v>184</v>
      </c>
      <c r="G7" s="36" t="s">
        <v>15</v>
      </c>
      <c r="H7" s="37" t="s">
        <v>125</v>
      </c>
      <c r="I7" s="35"/>
      <c r="J7" s="35"/>
      <c r="K7" s="35"/>
      <c r="L7" s="35">
        <v>1</v>
      </c>
      <c r="M7" s="35">
        <v>18</v>
      </c>
      <c r="N7" s="35">
        <v>42</v>
      </c>
      <c r="O7" s="35"/>
      <c r="P7" s="29" t="s">
        <v>58</v>
      </c>
      <c r="Q7" s="30">
        <f>SUM(M5:M7)</f>
        <v>98</v>
      </c>
      <c r="R7" s="30"/>
      <c r="S7" s="30">
        <f>SUM(N5:N7)</f>
        <v>112</v>
      </c>
      <c r="T7" s="30">
        <f t="shared" si="0"/>
        <v>210</v>
      </c>
    </row>
    <row r="8" spans="1:20" ht="28.8" x14ac:dyDescent="0.3">
      <c r="A8" s="12" t="s">
        <v>99</v>
      </c>
      <c r="B8" s="16">
        <v>46202</v>
      </c>
      <c r="C8" s="12" t="s">
        <v>122</v>
      </c>
      <c r="D8" s="12" t="s">
        <v>33</v>
      </c>
      <c r="E8" s="12" t="s">
        <v>178</v>
      </c>
      <c r="F8" s="12" t="s">
        <v>185</v>
      </c>
      <c r="G8" s="17" t="s">
        <v>17</v>
      </c>
      <c r="H8" s="12" t="s">
        <v>126</v>
      </c>
      <c r="I8" s="12"/>
      <c r="J8" s="12">
        <v>1</v>
      </c>
      <c r="K8" s="12"/>
      <c r="L8" s="12"/>
      <c r="M8" s="12">
        <v>42</v>
      </c>
      <c r="N8" s="12">
        <v>33</v>
      </c>
      <c r="O8" s="12"/>
      <c r="P8" s="18" t="s">
        <v>7</v>
      </c>
      <c r="Q8" s="12">
        <f>SUM(I8:I26)*3+SUM(J8:J26)</f>
        <v>13</v>
      </c>
      <c r="R8" s="12"/>
      <c r="S8" s="12">
        <f>SUM(K7:K9)*1+SUM(L7:L9)*3</f>
        <v>3</v>
      </c>
      <c r="T8" s="12">
        <f t="shared" si="0"/>
        <v>16</v>
      </c>
    </row>
    <row r="9" spans="1:20" ht="28.8" x14ac:dyDescent="0.3">
      <c r="A9" s="35" t="s">
        <v>99</v>
      </c>
      <c r="B9" s="32">
        <v>46202</v>
      </c>
      <c r="C9" s="30" t="s">
        <v>122</v>
      </c>
      <c r="D9" s="30" t="s">
        <v>33</v>
      </c>
      <c r="E9" s="30" t="s">
        <v>178</v>
      </c>
      <c r="F9" s="30" t="s">
        <v>162</v>
      </c>
      <c r="G9" s="36" t="s">
        <v>17</v>
      </c>
      <c r="H9" s="35" t="s">
        <v>129</v>
      </c>
      <c r="I9" s="35">
        <v>1</v>
      </c>
      <c r="J9" s="35"/>
      <c r="K9" s="35"/>
      <c r="L9" s="35"/>
      <c r="M9" s="35">
        <v>49</v>
      </c>
      <c r="N9" s="35">
        <v>40</v>
      </c>
      <c r="O9" s="35"/>
      <c r="P9" s="29" t="s">
        <v>58</v>
      </c>
      <c r="Q9" s="30">
        <f>SUM(M7:M9)</f>
        <v>109</v>
      </c>
      <c r="R9" s="30"/>
      <c r="S9" s="30">
        <f>SUM(N7:N9)</f>
        <v>115</v>
      </c>
      <c r="T9" s="30">
        <f t="shared" si="0"/>
        <v>224</v>
      </c>
    </row>
    <row r="10" spans="1:20" ht="28.8" x14ac:dyDescent="0.3">
      <c r="A10" s="12" t="s">
        <v>99</v>
      </c>
      <c r="B10" s="16">
        <v>46202</v>
      </c>
      <c r="C10" s="12" t="s">
        <v>122</v>
      </c>
      <c r="D10" s="12" t="s">
        <v>33</v>
      </c>
      <c r="E10" s="12" t="s">
        <v>178</v>
      </c>
      <c r="F10" s="12" t="s">
        <v>180</v>
      </c>
      <c r="G10" s="17" t="s">
        <v>15</v>
      </c>
      <c r="H10" s="12" t="s">
        <v>130</v>
      </c>
      <c r="I10" s="12"/>
      <c r="J10" s="12"/>
      <c r="K10" s="12"/>
      <c r="L10" s="12">
        <v>1</v>
      </c>
      <c r="M10" s="12">
        <v>29</v>
      </c>
      <c r="N10" s="12">
        <v>42</v>
      </c>
      <c r="O10" s="12"/>
      <c r="P10" s="18"/>
      <c r="Q10" s="12"/>
      <c r="R10" s="12"/>
      <c r="S10" s="12"/>
      <c r="T10" s="12"/>
    </row>
    <row r="11" spans="1:20" ht="28.8" x14ac:dyDescent="0.3">
      <c r="A11" s="35" t="s">
        <v>99</v>
      </c>
      <c r="B11" s="32">
        <v>46202</v>
      </c>
      <c r="C11" s="30" t="s">
        <v>122</v>
      </c>
      <c r="D11" s="30" t="s">
        <v>33</v>
      </c>
      <c r="E11" s="30" t="s">
        <v>178</v>
      </c>
      <c r="F11" s="30" t="s">
        <v>186</v>
      </c>
      <c r="G11" s="36" t="s">
        <v>15</v>
      </c>
      <c r="H11" s="37" t="s">
        <v>131</v>
      </c>
      <c r="I11" s="35"/>
      <c r="J11" s="35"/>
      <c r="K11" s="35"/>
      <c r="L11" s="35">
        <v>1</v>
      </c>
      <c r="M11" s="35">
        <v>38</v>
      </c>
      <c r="N11" s="35">
        <v>43</v>
      </c>
      <c r="O11" s="35">
        <v>4</v>
      </c>
      <c r="P11" s="29"/>
      <c r="Q11" s="30"/>
      <c r="R11" s="30"/>
      <c r="S11" s="30"/>
      <c r="T11" s="30"/>
    </row>
    <row r="12" spans="1:20" ht="28.8" x14ac:dyDescent="0.3">
      <c r="A12" s="16" t="s">
        <v>99</v>
      </c>
      <c r="B12" s="16">
        <v>46207</v>
      </c>
      <c r="C12" s="12" t="s">
        <v>46</v>
      </c>
      <c r="D12" s="12" t="s">
        <v>195</v>
      </c>
      <c r="E12" s="12" t="s">
        <v>178</v>
      </c>
      <c r="F12" s="12" t="s">
        <v>201</v>
      </c>
      <c r="G12" s="17" t="s">
        <v>17</v>
      </c>
      <c r="H12" s="12" t="s">
        <v>203</v>
      </c>
      <c r="I12" s="12">
        <v>1</v>
      </c>
      <c r="J12" s="12"/>
      <c r="K12" s="12"/>
      <c r="L12" s="12"/>
      <c r="M12" s="12">
        <v>42</v>
      </c>
      <c r="N12" s="12">
        <v>30</v>
      </c>
      <c r="O12" s="12"/>
      <c r="P12" s="18"/>
      <c r="Q12" s="12"/>
      <c r="R12" s="12"/>
      <c r="S12" s="12"/>
      <c r="T12" s="12"/>
    </row>
    <row r="13" spans="1:20" ht="28.8" x14ac:dyDescent="0.3">
      <c r="A13" s="32" t="s">
        <v>99</v>
      </c>
      <c r="B13" s="32">
        <v>46207</v>
      </c>
      <c r="C13" s="30" t="s">
        <v>46</v>
      </c>
      <c r="D13" s="30" t="s">
        <v>195</v>
      </c>
      <c r="E13" s="30" t="s">
        <v>178</v>
      </c>
      <c r="F13" s="30" t="s">
        <v>202</v>
      </c>
      <c r="G13" s="38" t="s">
        <v>15</v>
      </c>
      <c r="H13" s="35" t="s">
        <v>204</v>
      </c>
      <c r="I13" s="35"/>
      <c r="J13" s="35"/>
      <c r="K13" s="35"/>
      <c r="L13" s="35">
        <v>1</v>
      </c>
      <c r="M13" s="35">
        <v>21</v>
      </c>
      <c r="N13" s="35">
        <v>42</v>
      </c>
      <c r="O13" s="35"/>
      <c r="P13" s="29"/>
      <c r="Q13" s="30"/>
      <c r="R13" s="30"/>
      <c r="S13" s="30"/>
      <c r="T13" s="30"/>
    </row>
    <row r="14" spans="1:20" ht="28.8" x14ac:dyDescent="0.3">
      <c r="A14" s="16" t="s">
        <v>99</v>
      </c>
      <c r="B14" s="16">
        <v>46207</v>
      </c>
      <c r="C14" s="12" t="s">
        <v>46</v>
      </c>
      <c r="D14" s="12" t="s">
        <v>195</v>
      </c>
      <c r="E14" s="12" t="s">
        <v>178</v>
      </c>
      <c r="F14" s="12" t="s">
        <v>205</v>
      </c>
      <c r="G14" s="17" t="s">
        <v>13</v>
      </c>
      <c r="H14" s="12" t="s">
        <v>206</v>
      </c>
      <c r="I14" s="12">
        <v>1</v>
      </c>
      <c r="J14" s="12"/>
      <c r="K14" s="12"/>
      <c r="L14" s="12"/>
      <c r="M14" s="12">
        <v>54</v>
      </c>
      <c r="N14" s="12">
        <v>36</v>
      </c>
      <c r="O14" s="12"/>
      <c r="P14" s="18"/>
      <c r="Q14" s="12"/>
      <c r="R14" s="12"/>
      <c r="S14" s="12"/>
      <c r="T14" s="12"/>
    </row>
    <row r="15" spans="1:20" ht="28.8" x14ac:dyDescent="0.3">
      <c r="A15" s="32" t="s">
        <v>99</v>
      </c>
      <c r="B15" s="32">
        <v>46207</v>
      </c>
      <c r="C15" s="30" t="s">
        <v>46</v>
      </c>
      <c r="D15" s="30" t="s">
        <v>195</v>
      </c>
      <c r="E15" s="30" t="s">
        <v>178</v>
      </c>
      <c r="F15" s="30" t="s">
        <v>207</v>
      </c>
      <c r="G15" s="36" t="s">
        <v>13</v>
      </c>
      <c r="H15" s="35" t="s">
        <v>208</v>
      </c>
      <c r="I15" s="35">
        <v>1</v>
      </c>
      <c r="J15" s="35"/>
      <c r="K15" s="35"/>
      <c r="L15" s="35"/>
      <c r="M15" s="35">
        <v>56</v>
      </c>
      <c r="N15" s="35">
        <v>49</v>
      </c>
      <c r="O15" s="35"/>
      <c r="P15" s="29"/>
      <c r="Q15" s="30"/>
      <c r="R15" s="30"/>
      <c r="S15" s="30"/>
      <c r="T15" s="30"/>
    </row>
    <row r="16" spans="1:20" ht="28.8" x14ac:dyDescent="0.3">
      <c r="A16" s="16" t="s">
        <v>99</v>
      </c>
      <c r="B16" s="16">
        <v>46207</v>
      </c>
      <c r="C16" s="12" t="s">
        <v>46</v>
      </c>
      <c r="D16" s="12" t="s">
        <v>195</v>
      </c>
      <c r="E16" s="12" t="s">
        <v>178</v>
      </c>
      <c r="F16" s="12" t="s">
        <v>202</v>
      </c>
      <c r="G16" s="17" t="s">
        <v>15</v>
      </c>
      <c r="H16" s="12" t="s">
        <v>209</v>
      </c>
      <c r="I16" s="12"/>
      <c r="J16" s="12"/>
      <c r="K16" s="12"/>
      <c r="L16" s="12">
        <v>1</v>
      </c>
      <c r="M16" s="12">
        <v>24</v>
      </c>
      <c r="N16" s="12">
        <v>42</v>
      </c>
      <c r="O16" s="12">
        <v>2</v>
      </c>
      <c r="P16" s="18"/>
      <c r="Q16" s="12"/>
      <c r="R16" s="12"/>
      <c r="S16" s="12"/>
      <c r="T16" s="12"/>
    </row>
    <row r="17" spans="1:20" ht="28.8" x14ac:dyDescent="0.3">
      <c r="A17" s="32" t="s">
        <v>99</v>
      </c>
      <c r="B17" s="32">
        <v>46241</v>
      </c>
      <c r="C17" s="30" t="s">
        <v>32</v>
      </c>
      <c r="D17" s="30" t="s">
        <v>195</v>
      </c>
      <c r="E17" s="30" t="s">
        <v>216</v>
      </c>
      <c r="F17" s="30" t="s">
        <v>217</v>
      </c>
      <c r="G17" s="36" t="s">
        <v>29</v>
      </c>
      <c r="H17" s="35" t="s">
        <v>219</v>
      </c>
      <c r="I17" s="35"/>
      <c r="J17" s="35"/>
      <c r="K17" s="35"/>
      <c r="L17" s="35">
        <v>1</v>
      </c>
      <c r="M17" s="35">
        <v>46</v>
      </c>
      <c r="N17" s="35">
        <v>55</v>
      </c>
      <c r="O17" s="35"/>
      <c r="P17" s="29"/>
      <c r="Q17" s="30"/>
      <c r="R17" s="30"/>
      <c r="S17" s="30"/>
      <c r="T17" s="30"/>
    </row>
    <row r="18" spans="1:20" ht="28.8" x14ac:dyDescent="0.3">
      <c r="A18" s="16" t="s">
        <v>99</v>
      </c>
      <c r="B18" s="16">
        <v>46241</v>
      </c>
      <c r="C18" s="12" t="s">
        <v>46</v>
      </c>
      <c r="D18" s="12" t="s">
        <v>195</v>
      </c>
      <c r="E18" s="12" t="s">
        <v>216</v>
      </c>
      <c r="F18" s="12" t="s">
        <v>218</v>
      </c>
      <c r="G18" s="17" t="s">
        <v>15</v>
      </c>
      <c r="H18" s="12" t="s">
        <v>220</v>
      </c>
      <c r="I18" s="12"/>
      <c r="J18" s="12"/>
      <c r="K18" s="12"/>
      <c r="L18" s="12">
        <v>1</v>
      </c>
      <c r="M18" s="12">
        <v>27</v>
      </c>
      <c r="N18" s="12">
        <v>42</v>
      </c>
      <c r="O18" s="12"/>
      <c r="P18" s="18"/>
      <c r="Q18" s="12"/>
      <c r="R18" s="12"/>
      <c r="S18" s="12"/>
      <c r="T18" s="12"/>
    </row>
    <row r="19" spans="1:20" ht="28.8" x14ac:dyDescent="0.3">
      <c r="A19" s="32" t="s">
        <v>99</v>
      </c>
      <c r="B19" s="32">
        <v>46241</v>
      </c>
      <c r="C19" s="30" t="s">
        <v>46</v>
      </c>
      <c r="D19" s="30" t="s">
        <v>195</v>
      </c>
      <c r="E19" s="30" t="s">
        <v>216</v>
      </c>
      <c r="F19" s="30" t="s">
        <v>221</v>
      </c>
      <c r="G19" s="36" t="s">
        <v>15</v>
      </c>
      <c r="H19" s="35" t="s">
        <v>105</v>
      </c>
      <c r="I19" s="35"/>
      <c r="J19" s="35"/>
      <c r="K19" s="35"/>
      <c r="L19" s="35">
        <v>1</v>
      </c>
      <c r="M19" s="35">
        <v>21</v>
      </c>
      <c r="N19" s="35">
        <v>42</v>
      </c>
      <c r="O19" s="35">
        <v>9</v>
      </c>
      <c r="P19" s="29"/>
      <c r="Q19" s="30"/>
      <c r="R19" s="30"/>
      <c r="S19" s="30"/>
      <c r="T19" s="30"/>
    </row>
    <row r="20" spans="1:20" ht="28.8" x14ac:dyDescent="0.3">
      <c r="A20" s="16" t="s">
        <v>99</v>
      </c>
      <c r="B20" s="16">
        <v>46241</v>
      </c>
      <c r="C20" s="12" t="s">
        <v>46</v>
      </c>
      <c r="D20" s="12" t="s">
        <v>195</v>
      </c>
      <c r="E20" s="12" t="s">
        <v>216</v>
      </c>
      <c r="F20" s="12"/>
      <c r="G20" s="17"/>
      <c r="H20" s="12"/>
      <c r="I20" s="12"/>
      <c r="J20" s="12"/>
      <c r="K20" s="12"/>
      <c r="L20" s="12"/>
      <c r="M20" s="12"/>
      <c r="N20" s="12"/>
      <c r="O20" s="12"/>
      <c r="P20" s="18"/>
      <c r="Q20" s="12"/>
      <c r="R20" s="12"/>
      <c r="S20" s="12"/>
      <c r="T20" s="1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E14F-6B3B-4441-8DC3-9677609C951F}">
  <dimension ref="A1:S20"/>
  <sheetViews>
    <sheetView workbookViewId="0">
      <selection activeCell="F1" sqref="F1:F1048576"/>
    </sheetView>
  </sheetViews>
  <sheetFormatPr defaultRowHeight="14.4" x14ac:dyDescent="0.3"/>
  <cols>
    <col min="1" max="3" width="10.77734375" customWidth="1"/>
    <col min="4" max="6" width="14.77734375" customWidth="1"/>
    <col min="7" max="19" width="10.77734375" customWidth="1"/>
  </cols>
  <sheetData>
    <row r="1" spans="1:19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5"/>
      <c r="G1" s="11" t="s">
        <v>5</v>
      </c>
      <c r="H1" s="11" t="s">
        <v>6</v>
      </c>
      <c r="I1" s="11">
        <v>3</v>
      </c>
      <c r="J1" s="11">
        <v>2</v>
      </c>
      <c r="K1" s="11">
        <v>1</v>
      </c>
      <c r="L1" s="11">
        <v>0</v>
      </c>
      <c r="M1" s="11" t="s">
        <v>7</v>
      </c>
      <c r="N1" s="11" t="s">
        <v>7</v>
      </c>
      <c r="O1" s="15" t="s">
        <v>102</v>
      </c>
      <c r="P1" s="15"/>
      <c r="Q1" s="11" t="s">
        <v>101</v>
      </c>
      <c r="R1" s="11" t="s">
        <v>56</v>
      </c>
      <c r="S1" s="11" t="s">
        <v>57</v>
      </c>
    </row>
    <row r="2" spans="1:19" ht="28.8" x14ac:dyDescent="0.3">
      <c r="A2" s="12" t="s">
        <v>99</v>
      </c>
      <c r="B2" s="16">
        <v>45851</v>
      </c>
      <c r="C2" s="12" t="s">
        <v>22</v>
      </c>
      <c r="D2" s="12" t="s">
        <v>47</v>
      </c>
      <c r="E2" s="12" t="s">
        <v>101</v>
      </c>
      <c r="F2" s="12" t="s">
        <v>174</v>
      </c>
      <c r="G2" s="17" t="s">
        <v>15</v>
      </c>
      <c r="H2" s="12" t="s">
        <v>103</v>
      </c>
      <c r="I2" s="12"/>
      <c r="J2" s="12"/>
      <c r="K2" s="12"/>
      <c r="L2" s="12">
        <v>1</v>
      </c>
      <c r="M2" s="12">
        <v>34</v>
      </c>
      <c r="N2" s="12">
        <v>42</v>
      </c>
      <c r="O2" s="12"/>
      <c r="P2" s="18" t="s">
        <v>113</v>
      </c>
      <c r="Q2" s="12">
        <f>SUM(I2:I4)</f>
        <v>0</v>
      </c>
      <c r="R2" s="12">
        <f>SUM(L2:L4)</f>
        <v>3</v>
      </c>
      <c r="S2" s="12">
        <f>SUM(Q2:R2)</f>
        <v>3</v>
      </c>
    </row>
    <row r="3" spans="1:19" ht="28.8" x14ac:dyDescent="0.3">
      <c r="A3" s="10" t="s">
        <v>99</v>
      </c>
      <c r="B3" s="13">
        <v>45851</v>
      </c>
      <c r="C3" s="10" t="s">
        <v>22</v>
      </c>
      <c r="D3" s="10" t="s">
        <v>47</v>
      </c>
      <c r="E3" s="10" t="s">
        <v>101</v>
      </c>
      <c r="F3" s="10" t="s">
        <v>175</v>
      </c>
      <c r="G3" s="14" t="s">
        <v>15</v>
      </c>
      <c r="H3" s="10" t="s">
        <v>104</v>
      </c>
      <c r="I3" s="10"/>
      <c r="J3" s="10"/>
      <c r="K3" s="10"/>
      <c r="L3" s="10">
        <v>1</v>
      </c>
      <c r="M3" s="10">
        <v>17</v>
      </c>
      <c r="N3" s="10">
        <v>42</v>
      </c>
      <c r="O3" s="10"/>
      <c r="P3" s="29" t="s">
        <v>7</v>
      </c>
      <c r="Q3" s="30">
        <f>SUM(I3:I21)*3+SUM(J3:J21)</f>
        <v>0</v>
      </c>
      <c r="R3" s="30">
        <f>SUM(K2:K4)*1+SUM(L2:L4)*3</f>
        <v>9</v>
      </c>
      <c r="S3" s="30">
        <f>SUM(Q3:R3)</f>
        <v>9</v>
      </c>
    </row>
    <row r="4" spans="1:19" ht="28.8" x14ac:dyDescent="0.3">
      <c r="A4" s="19" t="s">
        <v>99</v>
      </c>
      <c r="B4" s="20">
        <v>45851</v>
      </c>
      <c r="C4" s="19" t="s">
        <v>22</v>
      </c>
      <c r="D4" s="19" t="s">
        <v>47</v>
      </c>
      <c r="E4" s="12" t="s">
        <v>101</v>
      </c>
      <c r="F4" s="12" t="s">
        <v>176</v>
      </c>
      <c r="G4" s="21" t="s">
        <v>15</v>
      </c>
      <c r="H4" s="19" t="s">
        <v>105</v>
      </c>
      <c r="I4" s="19"/>
      <c r="J4" s="19"/>
      <c r="K4" s="19"/>
      <c r="L4" s="19">
        <v>1</v>
      </c>
      <c r="M4" s="19">
        <v>21</v>
      </c>
      <c r="N4" s="19">
        <v>42</v>
      </c>
      <c r="O4" s="19">
        <v>9</v>
      </c>
      <c r="P4" s="18" t="s">
        <v>58</v>
      </c>
      <c r="Q4" s="12">
        <f>SUM(M2:M4)</f>
        <v>72</v>
      </c>
      <c r="R4" s="12">
        <f>SUM(N2:N4)</f>
        <v>126</v>
      </c>
      <c r="S4" s="12">
        <f>SUM(Q4:R4)</f>
        <v>198</v>
      </c>
    </row>
    <row r="5" spans="1:19" x14ac:dyDescent="0.3">
      <c r="B5" s="2"/>
      <c r="E5" s="3"/>
      <c r="G5" s="4"/>
      <c r="H5" s="7"/>
    </row>
    <row r="6" spans="1:19" x14ac:dyDescent="0.3">
      <c r="B6" s="2"/>
      <c r="E6" s="3"/>
      <c r="F6" s="8"/>
      <c r="G6" s="4"/>
      <c r="H6" s="8"/>
    </row>
    <row r="7" spans="1:19" x14ac:dyDescent="0.3">
      <c r="B7" s="2"/>
      <c r="E7" s="3"/>
      <c r="F7" s="7"/>
      <c r="G7" s="4"/>
      <c r="H7" s="7"/>
    </row>
    <row r="8" spans="1:19" x14ac:dyDescent="0.3">
      <c r="B8" s="2"/>
      <c r="E8" s="3"/>
      <c r="G8" s="4"/>
      <c r="H8" s="8"/>
    </row>
    <row r="9" spans="1:19" x14ac:dyDescent="0.3">
      <c r="B9" s="2"/>
      <c r="E9" s="3"/>
      <c r="G9" s="4"/>
    </row>
    <row r="10" spans="1:19" x14ac:dyDescent="0.3">
      <c r="B10" s="2"/>
      <c r="E10" s="3"/>
      <c r="G10" s="4"/>
    </row>
    <row r="11" spans="1:19" x14ac:dyDescent="0.3">
      <c r="B11" s="2"/>
      <c r="E11" s="3"/>
      <c r="G11" s="4"/>
    </row>
    <row r="12" spans="1:19" x14ac:dyDescent="0.3">
      <c r="B12" s="2"/>
      <c r="E12" s="3"/>
      <c r="G12" s="4"/>
    </row>
    <row r="13" spans="1:19" x14ac:dyDescent="0.3">
      <c r="B13" s="9"/>
      <c r="E13" s="3"/>
      <c r="G13" s="4"/>
    </row>
    <row r="14" spans="1:19" x14ac:dyDescent="0.3">
      <c r="B14" s="9"/>
      <c r="E14" s="3"/>
      <c r="G14" s="4"/>
    </row>
    <row r="15" spans="1:19" x14ac:dyDescent="0.3">
      <c r="B15" s="9"/>
      <c r="E15" s="3"/>
      <c r="G15" s="4"/>
    </row>
    <row r="16" spans="1:19" x14ac:dyDescent="0.3">
      <c r="B16" s="9"/>
      <c r="E16" s="3"/>
      <c r="G16" s="4"/>
    </row>
    <row r="17" spans="2:7" x14ac:dyDescent="0.3">
      <c r="B17" s="9"/>
      <c r="E17" s="3"/>
      <c r="G17" s="4"/>
    </row>
    <row r="18" spans="2:7" x14ac:dyDescent="0.3">
      <c r="B18" s="9"/>
      <c r="E18" s="3"/>
      <c r="G18" s="4"/>
    </row>
    <row r="19" spans="2:7" x14ac:dyDescent="0.3">
      <c r="B19" s="9"/>
      <c r="E19" s="3"/>
      <c r="G19" s="4"/>
    </row>
    <row r="20" spans="2:7" x14ac:dyDescent="0.3">
      <c r="B20" s="9"/>
      <c r="E20" s="3"/>
      <c r="G20" s="4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17CE-0DBE-45F3-8152-DA2CC07BC64A}">
  <dimension ref="A1:S31"/>
  <sheetViews>
    <sheetView topLeftCell="A8" workbookViewId="0">
      <selection activeCell="F8" sqref="F1:F1048576"/>
    </sheetView>
  </sheetViews>
  <sheetFormatPr defaultRowHeight="14.4" x14ac:dyDescent="0.3"/>
  <cols>
    <col min="1" max="3" width="10.77734375" customWidth="1"/>
    <col min="4" max="6" width="14.77734375" customWidth="1"/>
    <col min="7" max="19" width="10.77734375" customWidth="1"/>
  </cols>
  <sheetData>
    <row r="1" spans="1:19" ht="43.2" x14ac:dyDescent="0.3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5"/>
      <c r="G1" s="11" t="s">
        <v>5</v>
      </c>
      <c r="H1" s="11" t="s">
        <v>6</v>
      </c>
      <c r="I1" s="11">
        <v>3</v>
      </c>
      <c r="J1" s="11">
        <v>2</v>
      </c>
      <c r="K1" s="11">
        <v>0</v>
      </c>
      <c r="L1" s="11" t="s">
        <v>7</v>
      </c>
      <c r="M1" s="11" t="s">
        <v>7</v>
      </c>
      <c r="N1" s="11" t="s">
        <v>102</v>
      </c>
      <c r="O1" s="15"/>
      <c r="P1" s="15"/>
      <c r="Q1" s="11" t="s">
        <v>100</v>
      </c>
      <c r="R1" s="11" t="s">
        <v>56</v>
      </c>
      <c r="S1" s="11" t="s">
        <v>57</v>
      </c>
    </row>
    <row r="2" spans="1:19" ht="28.8" x14ac:dyDescent="0.3">
      <c r="A2" s="12" t="s">
        <v>31</v>
      </c>
      <c r="B2" s="16">
        <v>45822</v>
      </c>
      <c r="C2" s="12" t="s">
        <v>46</v>
      </c>
      <c r="D2" s="12" t="s">
        <v>23</v>
      </c>
      <c r="E2" s="12" t="s">
        <v>154</v>
      </c>
      <c r="F2" s="12" t="s">
        <v>155</v>
      </c>
      <c r="G2" s="17" t="s">
        <v>17</v>
      </c>
      <c r="H2" s="12" t="s">
        <v>79</v>
      </c>
      <c r="I2" s="12">
        <v>1</v>
      </c>
      <c r="J2" s="12"/>
      <c r="K2" s="12"/>
      <c r="L2" s="12">
        <v>42</v>
      </c>
      <c r="M2" s="12">
        <v>9</v>
      </c>
      <c r="N2" s="12"/>
      <c r="O2" s="12"/>
      <c r="P2" s="18" t="s">
        <v>113</v>
      </c>
      <c r="Q2" s="12">
        <f>SUM(I2:I28)</f>
        <v>12</v>
      </c>
      <c r="R2" s="12">
        <f>SUM(K2:K28)</f>
        <v>15</v>
      </c>
      <c r="S2" s="12">
        <f>SUM(Q2:R2)</f>
        <v>27</v>
      </c>
    </row>
    <row r="3" spans="1:19" ht="28.8" x14ac:dyDescent="0.3">
      <c r="A3" s="10" t="s">
        <v>31</v>
      </c>
      <c r="B3" s="13">
        <v>45822</v>
      </c>
      <c r="C3" s="10" t="s">
        <v>46</v>
      </c>
      <c r="D3" s="10" t="s">
        <v>23</v>
      </c>
      <c r="E3" s="10" t="s">
        <v>154</v>
      </c>
      <c r="F3" s="10" t="s">
        <v>156</v>
      </c>
      <c r="G3" s="14" t="s">
        <v>29</v>
      </c>
      <c r="H3" s="10" t="s">
        <v>80</v>
      </c>
      <c r="I3" s="10"/>
      <c r="J3" s="10"/>
      <c r="K3" s="10">
        <v>1</v>
      </c>
      <c r="L3" s="10">
        <v>52</v>
      </c>
      <c r="M3" s="10">
        <v>53</v>
      </c>
      <c r="N3" s="10"/>
      <c r="O3" s="10"/>
      <c r="P3" s="29" t="s">
        <v>7</v>
      </c>
      <c r="Q3" s="30">
        <f>3*Q2</f>
        <v>36</v>
      </c>
      <c r="R3" s="30">
        <f>3*R2</f>
        <v>45</v>
      </c>
      <c r="S3" s="30">
        <f>SUM(Q3:R3)</f>
        <v>81</v>
      </c>
    </row>
    <row r="4" spans="1:19" ht="28.8" x14ac:dyDescent="0.3">
      <c r="A4" s="12" t="s">
        <v>31</v>
      </c>
      <c r="B4" s="16">
        <v>45822</v>
      </c>
      <c r="C4" s="12" t="s">
        <v>46</v>
      </c>
      <c r="D4" s="12" t="s">
        <v>23</v>
      </c>
      <c r="E4" s="12" t="s">
        <v>154</v>
      </c>
      <c r="F4" s="12" t="s">
        <v>157</v>
      </c>
      <c r="G4" s="17" t="s">
        <v>15</v>
      </c>
      <c r="H4" s="12" t="s">
        <v>81</v>
      </c>
      <c r="I4" s="12"/>
      <c r="J4" s="12"/>
      <c r="K4" s="12">
        <v>1</v>
      </c>
      <c r="L4" s="12">
        <v>31</v>
      </c>
      <c r="M4" s="12">
        <v>42</v>
      </c>
      <c r="N4" s="12">
        <v>9</v>
      </c>
      <c r="O4" s="12"/>
      <c r="P4" s="31" t="s">
        <v>58</v>
      </c>
      <c r="Q4" s="12">
        <f>SUM(L2:L28)</f>
        <v>970</v>
      </c>
      <c r="R4" s="12">
        <f>SUM(M2:M28)</f>
        <v>927</v>
      </c>
      <c r="S4" s="12">
        <f>SUM(Q4:R4)</f>
        <v>1897</v>
      </c>
    </row>
    <row r="5" spans="1:19" ht="28.8" x14ac:dyDescent="0.3">
      <c r="A5" s="10" t="s">
        <v>31</v>
      </c>
      <c r="B5" s="13">
        <v>45827</v>
      </c>
      <c r="C5" s="10" t="s">
        <v>82</v>
      </c>
      <c r="D5" s="10" t="s">
        <v>10</v>
      </c>
      <c r="E5" s="10" t="s">
        <v>154</v>
      </c>
      <c r="F5" s="10" t="s">
        <v>155</v>
      </c>
      <c r="G5" s="14" t="s">
        <v>17</v>
      </c>
      <c r="H5" s="22" t="s">
        <v>83</v>
      </c>
      <c r="I5" s="10">
        <v>1</v>
      </c>
      <c r="J5" s="10"/>
      <c r="K5" s="10"/>
      <c r="L5" s="10">
        <v>42</v>
      </c>
      <c r="M5" s="10">
        <v>9</v>
      </c>
      <c r="N5" s="10"/>
      <c r="O5" s="10"/>
      <c r="P5" s="10"/>
      <c r="Q5" s="10"/>
      <c r="R5" s="10"/>
      <c r="S5" s="10"/>
    </row>
    <row r="6" spans="1:19" ht="28.8" x14ac:dyDescent="0.3">
      <c r="A6" s="12" t="s">
        <v>31</v>
      </c>
      <c r="B6" s="16">
        <v>45827</v>
      </c>
      <c r="C6" s="12" t="s">
        <v>82</v>
      </c>
      <c r="D6" s="12" t="s">
        <v>10</v>
      </c>
      <c r="E6" s="12" t="s">
        <v>154</v>
      </c>
      <c r="F6" s="24" t="s">
        <v>158</v>
      </c>
      <c r="G6" s="17" t="s">
        <v>15</v>
      </c>
      <c r="H6" s="24" t="s">
        <v>84</v>
      </c>
      <c r="I6" s="12"/>
      <c r="J6" s="12"/>
      <c r="K6" s="12">
        <v>1</v>
      </c>
      <c r="L6" s="12">
        <v>35</v>
      </c>
      <c r="M6" s="12">
        <v>42</v>
      </c>
      <c r="N6" s="12"/>
      <c r="O6" s="12"/>
      <c r="P6" s="12"/>
      <c r="Q6" s="12"/>
      <c r="R6" s="12"/>
      <c r="S6" s="12"/>
    </row>
    <row r="7" spans="1:19" ht="28.8" x14ac:dyDescent="0.3">
      <c r="A7" s="10" t="s">
        <v>31</v>
      </c>
      <c r="B7" s="13">
        <v>45827</v>
      </c>
      <c r="C7" s="10" t="s">
        <v>82</v>
      </c>
      <c r="D7" s="10" t="s">
        <v>10</v>
      </c>
      <c r="E7" s="10" t="s">
        <v>154</v>
      </c>
      <c r="F7" s="22" t="s">
        <v>159</v>
      </c>
      <c r="G7" s="14" t="s">
        <v>17</v>
      </c>
      <c r="H7" s="22" t="s">
        <v>85</v>
      </c>
      <c r="I7" s="10">
        <v>1</v>
      </c>
      <c r="J7" s="10"/>
      <c r="K7" s="10"/>
      <c r="L7" s="10">
        <v>42</v>
      </c>
      <c r="M7" s="10">
        <v>26</v>
      </c>
      <c r="N7" s="10"/>
      <c r="O7" s="10"/>
      <c r="P7" s="10"/>
      <c r="Q7" s="10"/>
      <c r="R7" s="10"/>
      <c r="S7" s="10"/>
    </row>
    <row r="8" spans="1:19" ht="28.8" x14ac:dyDescent="0.3">
      <c r="A8" s="12" t="s">
        <v>31</v>
      </c>
      <c r="B8" s="16">
        <v>45827</v>
      </c>
      <c r="C8" s="12" t="s">
        <v>82</v>
      </c>
      <c r="D8" s="12" t="s">
        <v>10</v>
      </c>
      <c r="E8" s="12" t="s">
        <v>154</v>
      </c>
      <c r="F8" s="12" t="s">
        <v>160</v>
      </c>
      <c r="G8" s="17" t="s">
        <v>15</v>
      </c>
      <c r="H8" s="24" t="s">
        <v>86</v>
      </c>
      <c r="I8" s="12"/>
      <c r="J8" s="12"/>
      <c r="K8" s="12">
        <v>1</v>
      </c>
      <c r="L8" s="12">
        <v>23</v>
      </c>
      <c r="M8" s="12">
        <v>42</v>
      </c>
      <c r="N8" s="12"/>
      <c r="O8" s="12"/>
      <c r="P8" s="12"/>
      <c r="Q8" s="12"/>
      <c r="R8" s="12"/>
      <c r="S8" s="12"/>
    </row>
    <row r="9" spans="1:19" ht="28.8" x14ac:dyDescent="0.3">
      <c r="A9" s="10" t="s">
        <v>31</v>
      </c>
      <c r="B9" s="13">
        <v>45837</v>
      </c>
      <c r="C9" s="10" t="s">
        <v>82</v>
      </c>
      <c r="D9" s="10" t="s">
        <v>87</v>
      </c>
      <c r="E9" s="10" t="s">
        <v>154</v>
      </c>
      <c r="F9" s="10" t="s">
        <v>161</v>
      </c>
      <c r="G9" s="14" t="s">
        <v>15</v>
      </c>
      <c r="H9" s="10" t="s">
        <v>89</v>
      </c>
      <c r="I9" s="10"/>
      <c r="J9" s="10"/>
      <c r="K9" s="10">
        <v>1</v>
      </c>
      <c r="L9" s="10">
        <v>29</v>
      </c>
      <c r="M9" s="10">
        <v>42</v>
      </c>
      <c r="N9" s="10">
        <v>5</v>
      </c>
      <c r="O9" s="10"/>
      <c r="P9" s="10"/>
      <c r="Q9" s="10"/>
      <c r="R9" s="10"/>
      <c r="S9" s="10"/>
    </row>
    <row r="10" spans="1:19" ht="28.8" x14ac:dyDescent="0.3">
      <c r="A10" s="12" t="s">
        <v>31</v>
      </c>
      <c r="B10" s="16">
        <v>45837</v>
      </c>
      <c r="C10" s="12" t="s">
        <v>82</v>
      </c>
      <c r="D10" s="12" t="s">
        <v>87</v>
      </c>
      <c r="E10" s="12" t="s">
        <v>154</v>
      </c>
      <c r="F10" s="12" t="s">
        <v>162</v>
      </c>
      <c r="G10" s="17" t="s">
        <v>17</v>
      </c>
      <c r="H10" s="12" t="s">
        <v>90</v>
      </c>
      <c r="I10" s="12">
        <v>1</v>
      </c>
      <c r="J10" s="12"/>
      <c r="K10" s="12"/>
      <c r="L10" s="12">
        <v>42</v>
      </c>
      <c r="M10" s="12">
        <v>26</v>
      </c>
      <c r="N10" s="12"/>
      <c r="O10" s="12"/>
      <c r="P10" s="12"/>
      <c r="Q10" s="12"/>
      <c r="R10" s="12"/>
      <c r="S10" s="12"/>
    </row>
    <row r="11" spans="1:19" ht="28.8" x14ac:dyDescent="0.3">
      <c r="A11" s="10" t="s">
        <v>31</v>
      </c>
      <c r="B11" s="13">
        <v>45837</v>
      </c>
      <c r="C11" s="10" t="s">
        <v>82</v>
      </c>
      <c r="D11" s="10" t="s">
        <v>87</v>
      </c>
      <c r="E11" s="10" t="s">
        <v>154</v>
      </c>
      <c r="F11" s="10" t="s">
        <v>163</v>
      </c>
      <c r="G11" s="14" t="s">
        <v>17</v>
      </c>
      <c r="H11" s="10" t="s">
        <v>91</v>
      </c>
      <c r="I11" s="10">
        <v>1</v>
      </c>
      <c r="J11" s="10"/>
      <c r="K11" s="10"/>
      <c r="L11" s="10">
        <v>49</v>
      </c>
      <c r="M11" s="10">
        <v>44</v>
      </c>
      <c r="N11" s="10"/>
      <c r="O11" s="10"/>
      <c r="P11" s="10"/>
      <c r="Q11" s="10"/>
      <c r="R11" s="10"/>
      <c r="S11" s="10"/>
    </row>
    <row r="12" spans="1:19" ht="28.8" x14ac:dyDescent="0.3">
      <c r="A12" s="12" t="s">
        <v>31</v>
      </c>
      <c r="B12" s="16">
        <v>45837</v>
      </c>
      <c r="C12" s="12" t="s">
        <v>82</v>
      </c>
      <c r="D12" s="12" t="s">
        <v>87</v>
      </c>
      <c r="E12" s="12" t="s">
        <v>154</v>
      </c>
      <c r="F12" s="12" t="s">
        <v>164</v>
      </c>
      <c r="G12" s="17" t="s">
        <v>15</v>
      </c>
      <c r="H12" s="12" t="s">
        <v>92</v>
      </c>
      <c r="I12" s="12"/>
      <c r="J12" s="12"/>
      <c r="K12" s="12">
        <v>1</v>
      </c>
      <c r="L12" s="12">
        <v>36</v>
      </c>
      <c r="M12" s="12">
        <v>43</v>
      </c>
      <c r="N12" s="12">
        <v>5</v>
      </c>
      <c r="O12" s="12"/>
      <c r="P12" s="12"/>
      <c r="Q12" s="12"/>
      <c r="R12" s="12"/>
      <c r="S12" s="12"/>
    </row>
    <row r="13" spans="1:19" ht="28.8" x14ac:dyDescent="0.3">
      <c r="A13" s="10" t="s">
        <v>31</v>
      </c>
      <c r="B13" s="23">
        <v>45839</v>
      </c>
      <c r="C13" s="10" t="s">
        <v>72</v>
      </c>
      <c r="D13" s="10" t="s">
        <v>33</v>
      </c>
      <c r="E13" s="10" t="s">
        <v>128</v>
      </c>
      <c r="F13" s="10" t="s">
        <v>162</v>
      </c>
      <c r="G13" s="14" t="s">
        <v>17</v>
      </c>
      <c r="H13" s="10" t="s">
        <v>93</v>
      </c>
      <c r="I13" s="10">
        <v>1</v>
      </c>
      <c r="J13" s="10"/>
      <c r="K13" s="10"/>
      <c r="L13" s="10">
        <v>42</v>
      </c>
      <c r="M13" s="10">
        <v>27</v>
      </c>
      <c r="N13" s="10"/>
      <c r="O13" s="10"/>
      <c r="P13" s="10"/>
      <c r="Q13" s="10"/>
      <c r="R13" s="10"/>
      <c r="S13" s="10"/>
    </row>
    <row r="14" spans="1:19" ht="28.8" x14ac:dyDescent="0.3">
      <c r="A14" s="12" t="s">
        <v>31</v>
      </c>
      <c r="B14" s="25">
        <v>45839</v>
      </c>
      <c r="C14" s="12" t="s">
        <v>72</v>
      </c>
      <c r="D14" s="12" t="s">
        <v>33</v>
      </c>
      <c r="E14" s="12" t="s">
        <v>128</v>
      </c>
      <c r="F14" s="12" t="s">
        <v>165</v>
      </c>
      <c r="G14" s="17" t="s">
        <v>15</v>
      </c>
      <c r="H14" s="12" t="s">
        <v>94</v>
      </c>
      <c r="I14" s="12"/>
      <c r="J14" s="12"/>
      <c r="K14" s="12">
        <v>1</v>
      </c>
      <c r="L14" s="12">
        <v>22</v>
      </c>
      <c r="M14" s="12">
        <v>42</v>
      </c>
      <c r="N14" s="12"/>
      <c r="O14" s="12"/>
      <c r="P14" s="12"/>
      <c r="Q14" s="12"/>
      <c r="R14" s="12"/>
      <c r="S14" s="12"/>
    </row>
    <row r="15" spans="1:19" ht="28.8" x14ac:dyDescent="0.3">
      <c r="A15" s="10" t="s">
        <v>31</v>
      </c>
      <c r="B15" s="23">
        <v>45839</v>
      </c>
      <c r="C15" s="10" t="s">
        <v>72</v>
      </c>
      <c r="D15" s="10" t="s">
        <v>33</v>
      </c>
      <c r="E15" s="10" t="s">
        <v>128</v>
      </c>
      <c r="F15" s="10" t="s">
        <v>166</v>
      </c>
      <c r="G15" s="14" t="s">
        <v>17</v>
      </c>
      <c r="H15" s="10" t="s">
        <v>95</v>
      </c>
      <c r="I15" s="10">
        <v>1</v>
      </c>
      <c r="J15" s="10"/>
      <c r="K15" s="10"/>
      <c r="L15" s="10">
        <v>42</v>
      </c>
      <c r="M15" s="10">
        <v>32</v>
      </c>
      <c r="N15" s="10"/>
      <c r="O15" s="10"/>
      <c r="P15" s="10"/>
      <c r="Q15" s="10"/>
      <c r="R15" s="10"/>
      <c r="S15" s="10"/>
    </row>
    <row r="16" spans="1:19" ht="28.8" x14ac:dyDescent="0.3">
      <c r="A16" s="12" t="s">
        <v>31</v>
      </c>
      <c r="B16" s="25">
        <v>45839</v>
      </c>
      <c r="C16" s="12" t="s">
        <v>72</v>
      </c>
      <c r="D16" s="12" t="s">
        <v>33</v>
      </c>
      <c r="E16" s="12" t="s">
        <v>128</v>
      </c>
      <c r="F16" s="12" t="s">
        <v>167</v>
      </c>
      <c r="G16" s="17" t="s">
        <v>15</v>
      </c>
      <c r="H16" s="12" t="s">
        <v>34</v>
      </c>
      <c r="I16" s="12"/>
      <c r="J16" s="12"/>
      <c r="K16" s="12">
        <v>1</v>
      </c>
      <c r="L16" s="12">
        <v>20</v>
      </c>
      <c r="M16" s="12">
        <v>42</v>
      </c>
      <c r="N16" s="12">
        <v>9</v>
      </c>
      <c r="O16" s="12"/>
      <c r="P16" s="12"/>
      <c r="Q16" s="12"/>
      <c r="R16" s="12"/>
      <c r="S16" s="12"/>
    </row>
    <row r="17" spans="1:19" ht="28.8" x14ac:dyDescent="0.3">
      <c r="A17" s="10" t="s">
        <v>31</v>
      </c>
      <c r="B17" s="23">
        <v>45844</v>
      </c>
      <c r="C17" s="10" t="s">
        <v>22</v>
      </c>
      <c r="D17" s="10" t="s">
        <v>41</v>
      </c>
      <c r="E17" s="10" t="s">
        <v>78</v>
      </c>
      <c r="F17" s="10" t="s">
        <v>168</v>
      </c>
      <c r="G17" s="14" t="s">
        <v>17</v>
      </c>
      <c r="H17" s="10" t="s">
        <v>96</v>
      </c>
      <c r="I17" s="10">
        <v>1</v>
      </c>
      <c r="J17" s="10"/>
      <c r="K17" s="10"/>
      <c r="L17" s="10">
        <v>42</v>
      </c>
      <c r="M17" s="10">
        <v>21</v>
      </c>
      <c r="N17" s="10"/>
      <c r="O17" s="10"/>
      <c r="P17" s="10"/>
      <c r="Q17" s="10"/>
      <c r="R17" s="10"/>
      <c r="S17" s="10"/>
    </row>
    <row r="18" spans="1:19" ht="28.8" x14ac:dyDescent="0.3">
      <c r="A18" s="12" t="s">
        <v>31</v>
      </c>
      <c r="B18" s="25">
        <v>45844</v>
      </c>
      <c r="C18" s="12" t="s">
        <v>22</v>
      </c>
      <c r="D18" s="12" t="s">
        <v>41</v>
      </c>
      <c r="E18" s="12" t="s">
        <v>154</v>
      </c>
      <c r="F18" s="12" t="s">
        <v>169</v>
      </c>
      <c r="G18" s="17" t="s">
        <v>15</v>
      </c>
      <c r="H18" s="12" t="s">
        <v>97</v>
      </c>
      <c r="I18" s="12"/>
      <c r="J18" s="12"/>
      <c r="K18" s="12">
        <v>1</v>
      </c>
      <c r="L18" s="12">
        <v>30</v>
      </c>
      <c r="M18" s="12">
        <v>42</v>
      </c>
      <c r="N18" s="12"/>
      <c r="O18" s="12"/>
      <c r="P18" s="12"/>
      <c r="Q18" s="12"/>
      <c r="R18" s="12"/>
      <c r="S18" s="12"/>
    </row>
    <row r="19" spans="1:19" ht="28.8" x14ac:dyDescent="0.3">
      <c r="A19" s="10" t="s">
        <v>31</v>
      </c>
      <c r="B19" s="23">
        <v>45844</v>
      </c>
      <c r="C19" s="10" t="s">
        <v>22</v>
      </c>
      <c r="D19" s="10" t="s">
        <v>41</v>
      </c>
      <c r="E19" s="10" t="s">
        <v>154</v>
      </c>
      <c r="F19" s="10" t="s">
        <v>159</v>
      </c>
      <c r="G19" s="14" t="s">
        <v>17</v>
      </c>
      <c r="H19" s="10" t="s">
        <v>96</v>
      </c>
      <c r="I19" s="10">
        <v>1</v>
      </c>
      <c r="J19" s="10"/>
      <c r="K19" s="10"/>
      <c r="L19" s="10">
        <v>42</v>
      </c>
      <c r="M19" s="10">
        <v>21</v>
      </c>
      <c r="N19" s="10"/>
      <c r="O19" s="10"/>
      <c r="P19" s="10"/>
      <c r="Q19" s="10"/>
      <c r="R19" s="10"/>
      <c r="S19" s="10"/>
    </row>
    <row r="20" spans="1:19" ht="28.8" x14ac:dyDescent="0.3">
      <c r="A20" s="12" t="s">
        <v>31</v>
      </c>
      <c r="B20" s="25">
        <v>45844</v>
      </c>
      <c r="C20" s="12" t="s">
        <v>22</v>
      </c>
      <c r="D20" s="12" t="s">
        <v>41</v>
      </c>
      <c r="E20" s="12" t="s">
        <v>154</v>
      </c>
      <c r="F20" s="12" t="s">
        <v>161</v>
      </c>
      <c r="G20" s="17" t="s">
        <v>15</v>
      </c>
      <c r="H20" s="12" t="s">
        <v>98</v>
      </c>
      <c r="I20" s="12"/>
      <c r="J20" s="12"/>
      <c r="K20" s="12">
        <v>1</v>
      </c>
      <c r="L20" s="12">
        <v>26</v>
      </c>
      <c r="M20" s="12">
        <v>42</v>
      </c>
      <c r="N20" s="12">
        <v>5</v>
      </c>
      <c r="O20" s="12"/>
      <c r="P20" s="12"/>
      <c r="Q20" s="12"/>
      <c r="R20" s="12"/>
      <c r="S20" s="12"/>
    </row>
    <row r="21" spans="1:19" ht="28.8" x14ac:dyDescent="0.3">
      <c r="A21" s="10" t="s">
        <v>31</v>
      </c>
      <c r="B21" s="23">
        <v>45868</v>
      </c>
      <c r="C21" s="10" t="s">
        <v>9</v>
      </c>
      <c r="D21" s="10" t="s">
        <v>106</v>
      </c>
      <c r="E21" s="10" t="s">
        <v>78</v>
      </c>
      <c r="F21" s="10" t="s">
        <v>165</v>
      </c>
      <c r="G21" s="14" t="s">
        <v>15</v>
      </c>
      <c r="H21" s="10" t="s">
        <v>109</v>
      </c>
      <c r="I21" s="10"/>
      <c r="J21" s="10"/>
      <c r="K21" s="10">
        <v>1</v>
      </c>
      <c r="L21" s="10">
        <v>31</v>
      </c>
      <c r="M21" s="10">
        <v>42</v>
      </c>
      <c r="N21" s="10"/>
      <c r="O21" s="10"/>
      <c r="P21" s="10"/>
      <c r="Q21" s="10"/>
      <c r="R21" s="10"/>
      <c r="S21" s="10"/>
    </row>
    <row r="22" spans="1:19" ht="28.8" x14ac:dyDescent="0.3">
      <c r="A22" s="12" t="s">
        <v>31</v>
      </c>
      <c r="B22" s="25">
        <v>45868</v>
      </c>
      <c r="C22" s="12" t="s">
        <v>9</v>
      </c>
      <c r="D22" s="12" t="s">
        <v>106</v>
      </c>
      <c r="E22" s="12" t="s">
        <v>154</v>
      </c>
      <c r="F22" s="12" t="s">
        <v>88</v>
      </c>
      <c r="G22" s="17" t="s">
        <v>15</v>
      </c>
      <c r="H22" s="12" t="s">
        <v>108</v>
      </c>
      <c r="I22" s="12"/>
      <c r="J22" s="12"/>
      <c r="K22" s="12">
        <v>1</v>
      </c>
      <c r="L22" s="12">
        <v>30</v>
      </c>
      <c r="M22" s="12">
        <v>42</v>
      </c>
      <c r="N22" s="12"/>
      <c r="O22" s="12"/>
      <c r="P22" s="12"/>
      <c r="Q22" s="12"/>
      <c r="R22" s="12"/>
      <c r="S22" s="12"/>
    </row>
    <row r="23" spans="1:19" ht="28.8" x14ac:dyDescent="0.3">
      <c r="A23" s="10" t="s">
        <v>31</v>
      </c>
      <c r="B23" s="23">
        <v>45868</v>
      </c>
      <c r="C23" s="10" t="s">
        <v>9</v>
      </c>
      <c r="D23" s="10" t="s">
        <v>106</v>
      </c>
      <c r="E23" s="10" t="s">
        <v>154</v>
      </c>
      <c r="F23" s="10" t="s">
        <v>107</v>
      </c>
      <c r="G23" s="14" t="s">
        <v>15</v>
      </c>
      <c r="H23" s="10" t="s">
        <v>110</v>
      </c>
      <c r="I23" s="10"/>
      <c r="J23" s="10"/>
      <c r="K23" s="10">
        <v>1</v>
      </c>
      <c r="L23" s="10">
        <v>34</v>
      </c>
      <c r="M23" s="10">
        <v>42</v>
      </c>
      <c r="N23" s="10"/>
      <c r="O23" s="10"/>
      <c r="P23" s="10"/>
      <c r="Q23" s="10"/>
      <c r="R23" s="10"/>
      <c r="S23" s="10"/>
    </row>
    <row r="24" spans="1:19" ht="28.8" x14ac:dyDescent="0.3">
      <c r="A24" s="12" t="s">
        <v>31</v>
      </c>
      <c r="B24" s="25">
        <v>45868</v>
      </c>
      <c r="C24" s="12" t="s">
        <v>9</v>
      </c>
      <c r="D24" s="12" t="s">
        <v>106</v>
      </c>
      <c r="E24" s="12" t="s">
        <v>154</v>
      </c>
      <c r="F24" s="12" t="s">
        <v>170</v>
      </c>
      <c r="G24" s="17" t="s">
        <v>17</v>
      </c>
      <c r="H24" s="12" t="s">
        <v>111</v>
      </c>
      <c r="I24" s="12">
        <v>1</v>
      </c>
      <c r="J24" s="12"/>
      <c r="K24" s="12"/>
      <c r="L24" s="12">
        <v>42</v>
      </c>
      <c r="M24" s="12">
        <v>37</v>
      </c>
      <c r="N24" s="12">
        <v>7</v>
      </c>
      <c r="O24" s="12"/>
      <c r="P24" s="12"/>
      <c r="Q24" s="12"/>
      <c r="R24" s="12"/>
      <c r="S24" s="12"/>
    </row>
    <row r="25" spans="1:19" ht="28.8" x14ac:dyDescent="0.3">
      <c r="A25" s="10" t="s">
        <v>31</v>
      </c>
      <c r="B25" s="23">
        <v>46608</v>
      </c>
      <c r="C25" s="10" t="s">
        <v>46</v>
      </c>
      <c r="D25" s="10" t="s">
        <v>51</v>
      </c>
      <c r="E25" s="10" t="s">
        <v>78</v>
      </c>
      <c r="F25" s="10" t="s">
        <v>168</v>
      </c>
      <c r="G25" s="14" t="s">
        <v>17</v>
      </c>
      <c r="H25" s="10" t="s">
        <v>28</v>
      </c>
      <c r="I25" s="10">
        <v>1</v>
      </c>
      <c r="J25" s="10"/>
      <c r="K25" s="10"/>
      <c r="L25" s="10">
        <v>42</v>
      </c>
      <c r="M25" s="10">
        <v>21</v>
      </c>
      <c r="N25" s="10"/>
      <c r="O25" s="10"/>
      <c r="P25" s="10"/>
      <c r="Q25" s="10"/>
      <c r="R25" s="10"/>
      <c r="S25" s="10"/>
    </row>
    <row r="26" spans="1:19" ht="28.8" x14ac:dyDescent="0.3">
      <c r="A26" s="12" t="s">
        <v>31</v>
      </c>
      <c r="B26" s="25">
        <v>46608</v>
      </c>
      <c r="C26" s="12" t="s">
        <v>46</v>
      </c>
      <c r="D26" s="12" t="s">
        <v>51</v>
      </c>
      <c r="E26" s="12" t="s">
        <v>154</v>
      </c>
      <c r="F26" s="12" t="s">
        <v>171</v>
      </c>
      <c r="G26" s="17" t="s">
        <v>15</v>
      </c>
      <c r="H26" s="12" t="s">
        <v>103</v>
      </c>
      <c r="I26" s="12"/>
      <c r="J26" s="12"/>
      <c r="K26" s="12">
        <v>1</v>
      </c>
      <c r="L26" s="12">
        <v>34</v>
      </c>
      <c r="M26" s="12">
        <v>42</v>
      </c>
      <c r="N26" s="12"/>
      <c r="O26" s="12"/>
      <c r="P26" s="12"/>
      <c r="Q26" s="12"/>
      <c r="R26" s="12"/>
      <c r="S26" s="12"/>
    </row>
    <row r="27" spans="1:19" ht="28.8" x14ac:dyDescent="0.3">
      <c r="A27" s="10" t="s">
        <v>31</v>
      </c>
      <c r="B27" s="23">
        <v>46608</v>
      </c>
      <c r="C27" s="10" t="s">
        <v>46</v>
      </c>
      <c r="D27" s="10" t="s">
        <v>51</v>
      </c>
      <c r="E27" s="10" t="s">
        <v>154</v>
      </c>
      <c r="F27" s="10" t="s">
        <v>172</v>
      </c>
      <c r="G27" s="14" t="s">
        <v>17</v>
      </c>
      <c r="H27" s="10" t="s">
        <v>112</v>
      </c>
      <c r="I27" s="10">
        <v>1</v>
      </c>
      <c r="J27" s="10"/>
      <c r="K27" s="10"/>
      <c r="L27" s="10">
        <v>42</v>
      </c>
      <c r="M27" s="10">
        <v>12</v>
      </c>
      <c r="N27" s="10"/>
      <c r="O27" s="10"/>
      <c r="P27" s="10"/>
      <c r="Q27" s="10"/>
      <c r="R27" s="10"/>
      <c r="S27" s="10"/>
    </row>
    <row r="28" spans="1:19" ht="28.8" x14ac:dyDescent="0.3">
      <c r="A28" s="12" t="s">
        <v>31</v>
      </c>
      <c r="B28" s="25">
        <v>46608</v>
      </c>
      <c r="C28" s="12" t="s">
        <v>46</v>
      </c>
      <c r="D28" s="12" t="s">
        <v>51</v>
      </c>
      <c r="E28" s="12" t="s">
        <v>154</v>
      </c>
      <c r="F28" s="12" t="s">
        <v>173</v>
      </c>
      <c r="G28" s="17" t="s">
        <v>15</v>
      </c>
      <c r="H28" s="12" t="s">
        <v>54</v>
      </c>
      <c r="I28" s="12"/>
      <c r="J28" s="12"/>
      <c r="K28" s="12">
        <v>1</v>
      </c>
      <c r="L28" s="12">
        <v>26</v>
      </c>
      <c r="M28" s="12">
        <v>42</v>
      </c>
      <c r="N28" s="12">
        <v>5</v>
      </c>
      <c r="O28" s="12"/>
      <c r="P28" s="12"/>
      <c r="Q28" s="12"/>
      <c r="R28" s="12"/>
      <c r="S28" s="12"/>
    </row>
    <row r="29" spans="1:19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</row>
    <row r="30" spans="1:19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</row>
    <row r="31" spans="1:19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95BF-90EE-46DB-80DC-AAD7E6F6766E}">
  <dimension ref="A1:S14"/>
  <sheetViews>
    <sheetView workbookViewId="0">
      <selection activeCell="F1" sqref="F1:F1048576"/>
    </sheetView>
  </sheetViews>
  <sheetFormatPr defaultRowHeight="14.4" x14ac:dyDescent="0.3"/>
  <cols>
    <col min="1" max="3" width="10.77734375" customWidth="1"/>
    <col min="4" max="6" width="14.77734375" customWidth="1"/>
    <col min="7" max="19" width="10.77734375" customWidth="1"/>
  </cols>
  <sheetData>
    <row r="1" spans="1:19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5"/>
      <c r="G1" s="11" t="s">
        <v>5</v>
      </c>
      <c r="H1" s="11" t="s">
        <v>6</v>
      </c>
      <c r="I1" s="11">
        <v>3</v>
      </c>
      <c r="J1" s="11">
        <v>2</v>
      </c>
      <c r="K1" s="11">
        <v>1</v>
      </c>
      <c r="L1" s="11" t="s">
        <v>7</v>
      </c>
      <c r="M1" s="11" t="s">
        <v>7</v>
      </c>
      <c r="N1" s="11" t="s">
        <v>102</v>
      </c>
      <c r="O1" s="15"/>
      <c r="P1" s="15"/>
      <c r="Q1" s="11" t="s">
        <v>59</v>
      </c>
      <c r="R1" s="11" t="s">
        <v>56</v>
      </c>
      <c r="S1" s="11" t="s">
        <v>57</v>
      </c>
    </row>
    <row r="2" spans="1:19" ht="28.8" x14ac:dyDescent="0.3">
      <c r="A2" s="12" t="s">
        <v>31</v>
      </c>
      <c r="B2" s="16">
        <v>45423</v>
      </c>
      <c r="C2" s="12" t="s">
        <v>46</v>
      </c>
      <c r="D2" s="12" t="s">
        <v>51</v>
      </c>
      <c r="E2" s="12" t="s">
        <v>59</v>
      </c>
      <c r="F2" s="12" t="s">
        <v>144</v>
      </c>
      <c r="G2" s="17" t="s">
        <v>15</v>
      </c>
      <c r="H2" s="12" t="s">
        <v>52</v>
      </c>
      <c r="I2" s="12"/>
      <c r="J2" s="12"/>
      <c r="K2" s="12">
        <v>1</v>
      </c>
      <c r="L2" s="12">
        <v>31</v>
      </c>
      <c r="M2" s="12">
        <v>42</v>
      </c>
      <c r="N2" s="12"/>
      <c r="O2" s="12"/>
      <c r="P2" s="18" t="s">
        <v>113</v>
      </c>
      <c r="Q2" s="12">
        <f>SUM(I2:I13)</f>
        <v>1</v>
      </c>
      <c r="R2" s="12">
        <f>SUM(K2:K13)</f>
        <v>11</v>
      </c>
      <c r="S2" s="12">
        <f>SUM(Q2:R2)</f>
        <v>12</v>
      </c>
    </row>
    <row r="3" spans="1:19" ht="28.8" x14ac:dyDescent="0.3">
      <c r="A3" s="10" t="s">
        <v>31</v>
      </c>
      <c r="B3" s="13">
        <v>45423</v>
      </c>
      <c r="C3" s="10" t="s">
        <v>46</v>
      </c>
      <c r="D3" s="10" t="s">
        <v>51</v>
      </c>
      <c r="E3" s="10" t="s">
        <v>59</v>
      </c>
      <c r="F3" s="10" t="s">
        <v>145</v>
      </c>
      <c r="G3" s="14" t="s">
        <v>15</v>
      </c>
      <c r="H3" s="10" t="s">
        <v>53</v>
      </c>
      <c r="I3" s="10"/>
      <c r="J3" s="10"/>
      <c r="K3" s="10">
        <v>1</v>
      </c>
      <c r="L3" s="10">
        <v>21</v>
      </c>
      <c r="M3" s="10">
        <v>42</v>
      </c>
      <c r="N3" s="10"/>
      <c r="O3" s="10"/>
      <c r="P3" s="29" t="s">
        <v>7</v>
      </c>
      <c r="Q3" s="30">
        <f>Q2*3</f>
        <v>3</v>
      </c>
      <c r="R3" s="30">
        <f>R2*3</f>
        <v>33</v>
      </c>
      <c r="S3" s="30">
        <f>SUM(Q3:R3)</f>
        <v>36</v>
      </c>
    </row>
    <row r="4" spans="1:19" ht="28.8" x14ac:dyDescent="0.3">
      <c r="A4" s="12" t="s">
        <v>31</v>
      </c>
      <c r="B4" s="16">
        <v>45423</v>
      </c>
      <c r="C4" s="12" t="s">
        <v>46</v>
      </c>
      <c r="D4" s="12" t="s">
        <v>51</v>
      </c>
      <c r="E4" s="12" t="s">
        <v>59</v>
      </c>
      <c r="F4" s="12" t="s">
        <v>146</v>
      </c>
      <c r="G4" s="17" t="s">
        <v>15</v>
      </c>
      <c r="H4" s="12" t="s">
        <v>54</v>
      </c>
      <c r="I4" s="12"/>
      <c r="J4" s="12"/>
      <c r="K4" s="12">
        <v>1</v>
      </c>
      <c r="L4" s="12">
        <v>26</v>
      </c>
      <c r="M4" s="12">
        <v>42</v>
      </c>
      <c r="N4" s="12">
        <v>9</v>
      </c>
      <c r="O4" s="12"/>
      <c r="P4" s="18" t="s">
        <v>58</v>
      </c>
      <c r="Q4" s="12">
        <f>SUM(L3:L13)</f>
        <v>313</v>
      </c>
      <c r="R4" s="12">
        <f>SUM(M3:M13)</f>
        <v>467</v>
      </c>
      <c r="S4" s="12">
        <f>SUM(Q4:R4)</f>
        <v>780</v>
      </c>
    </row>
    <row r="5" spans="1:19" ht="28.8" x14ac:dyDescent="0.3">
      <c r="A5" s="10" t="s">
        <v>31</v>
      </c>
      <c r="B5" s="13">
        <v>45458</v>
      </c>
      <c r="C5" s="10" t="s">
        <v>46</v>
      </c>
      <c r="D5" s="10" t="s">
        <v>23</v>
      </c>
      <c r="E5" s="10" t="s">
        <v>59</v>
      </c>
      <c r="F5" s="22" t="s">
        <v>147</v>
      </c>
      <c r="G5" s="14" t="s">
        <v>15</v>
      </c>
      <c r="H5" s="22" t="s">
        <v>69</v>
      </c>
      <c r="I5" s="10"/>
      <c r="J5" s="10"/>
      <c r="K5" s="10">
        <v>1</v>
      </c>
      <c r="L5" s="10">
        <v>33</v>
      </c>
      <c r="M5" s="10">
        <v>42</v>
      </c>
      <c r="N5" s="10"/>
      <c r="O5" s="10"/>
      <c r="P5" s="10"/>
      <c r="Q5" s="10"/>
      <c r="R5" s="10"/>
      <c r="S5" s="10"/>
    </row>
    <row r="6" spans="1:19" ht="28.8" x14ac:dyDescent="0.3">
      <c r="A6" s="12" t="s">
        <v>31</v>
      </c>
      <c r="B6" s="16">
        <v>45458</v>
      </c>
      <c r="C6" s="12" t="s">
        <v>46</v>
      </c>
      <c r="D6" s="12" t="s">
        <v>23</v>
      </c>
      <c r="E6" s="12" t="s">
        <v>59</v>
      </c>
      <c r="F6" s="24" t="s">
        <v>148</v>
      </c>
      <c r="G6" s="17" t="s">
        <v>15</v>
      </c>
      <c r="H6" s="24" t="s">
        <v>21</v>
      </c>
      <c r="I6" s="12"/>
      <c r="J6" s="12"/>
      <c r="K6" s="12">
        <v>1</v>
      </c>
      <c r="L6" s="12">
        <v>24</v>
      </c>
      <c r="M6" s="12">
        <v>42</v>
      </c>
      <c r="N6" s="12"/>
      <c r="O6" s="12"/>
      <c r="P6" s="12"/>
      <c r="Q6" s="12"/>
      <c r="R6" s="12"/>
      <c r="S6" s="12"/>
    </row>
    <row r="7" spans="1:19" ht="28.8" x14ac:dyDescent="0.3">
      <c r="A7" s="10" t="s">
        <v>31</v>
      </c>
      <c r="B7" s="13">
        <v>45458</v>
      </c>
      <c r="C7" s="10" t="s">
        <v>46</v>
      </c>
      <c r="D7" s="10" t="s">
        <v>23</v>
      </c>
      <c r="E7" s="10" t="s">
        <v>59</v>
      </c>
      <c r="F7" s="22" t="s">
        <v>149</v>
      </c>
      <c r="G7" s="14" t="s">
        <v>29</v>
      </c>
      <c r="H7" s="22" t="s">
        <v>70</v>
      </c>
      <c r="I7" s="10"/>
      <c r="J7" s="10"/>
      <c r="K7" s="10">
        <v>1</v>
      </c>
      <c r="L7" s="10">
        <v>50</v>
      </c>
      <c r="M7" s="10">
        <v>54</v>
      </c>
      <c r="N7" s="10"/>
      <c r="O7" s="10"/>
      <c r="P7" s="10"/>
      <c r="Q7" s="10"/>
      <c r="R7" s="10"/>
      <c r="S7" s="10"/>
    </row>
    <row r="8" spans="1:19" ht="28.8" x14ac:dyDescent="0.3">
      <c r="A8" s="12" t="s">
        <v>31</v>
      </c>
      <c r="B8" s="16">
        <v>45458</v>
      </c>
      <c r="C8" s="12" t="s">
        <v>46</v>
      </c>
      <c r="D8" s="12" t="s">
        <v>23</v>
      </c>
      <c r="E8" s="12" t="s">
        <v>59</v>
      </c>
      <c r="F8" s="12" t="s">
        <v>146</v>
      </c>
      <c r="G8" s="17" t="s">
        <v>15</v>
      </c>
      <c r="H8" s="24" t="s">
        <v>71</v>
      </c>
      <c r="I8" s="12"/>
      <c r="J8" s="12"/>
      <c r="K8" s="12">
        <v>1</v>
      </c>
      <c r="L8" s="12">
        <v>12</v>
      </c>
      <c r="M8" s="12">
        <v>42</v>
      </c>
      <c r="N8" s="12">
        <v>15</v>
      </c>
      <c r="O8" s="12"/>
      <c r="P8" s="12"/>
      <c r="Q8" s="12"/>
      <c r="R8" s="12"/>
      <c r="S8" s="12"/>
    </row>
    <row r="9" spans="1:19" ht="28.8" x14ac:dyDescent="0.3">
      <c r="A9" s="10" t="s">
        <v>31</v>
      </c>
      <c r="B9" s="23">
        <v>45461</v>
      </c>
      <c r="C9" s="10" t="s">
        <v>72</v>
      </c>
      <c r="D9" s="10" t="s">
        <v>10</v>
      </c>
      <c r="E9" s="10" t="s">
        <v>59</v>
      </c>
      <c r="F9" s="10" t="s">
        <v>150</v>
      </c>
      <c r="G9" s="14" t="s">
        <v>15</v>
      </c>
      <c r="H9" s="10" t="s">
        <v>73</v>
      </c>
      <c r="I9" s="10"/>
      <c r="J9" s="10"/>
      <c r="K9" s="10">
        <v>1</v>
      </c>
      <c r="L9" s="10">
        <v>31</v>
      </c>
      <c r="M9" s="10">
        <v>42</v>
      </c>
      <c r="N9" s="10"/>
      <c r="O9" s="10"/>
      <c r="P9" s="10"/>
      <c r="Q9" s="10"/>
      <c r="R9" s="10"/>
      <c r="S9" s="10"/>
    </row>
    <row r="10" spans="1:19" ht="28.8" x14ac:dyDescent="0.3">
      <c r="A10" s="12" t="s">
        <v>31</v>
      </c>
      <c r="B10" s="25">
        <v>45461</v>
      </c>
      <c r="C10" s="12" t="s">
        <v>72</v>
      </c>
      <c r="D10" s="12" t="s">
        <v>10</v>
      </c>
      <c r="E10" s="12" t="s">
        <v>59</v>
      </c>
      <c r="F10" s="12" t="s">
        <v>151</v>
      </c>
      <c r="G10" s="17" t="s">
        <v>15</v>
      </c>
      <c r="H10" s="12" t="s">
        <v>74</v>
      </c>
      <c r="I10" s="12"/>
      <c r="J10" s="12"/>
      <c r="K10" s="12">
        <v>1</v>
      </c>
      <c r="L10" s="12">
        <v>32</v>
      </c>
      <c r="M10" s="12">
        <v>42</v>
      </c>
      <c r="N10" s="12"/>
      <c r="O10" s="12"/>
      <c r="P10" s="12"/>
      <c r="Q10" s="12"/>
      <c r="R10" s="12"/>
      <c r="S10" s="12"/>
    </row>
    <row r="11" spans="1:19" ht="28.8" x14ac:dyDescent="0.3">
      <c r="A11" s="10" t="s">
        <v>31</v>
      </c>
      <c r="B11" s="23">
        <v>45461</v>
      </c>
      <c r="C11" s="10" t="s">
        <v>72</v>
      </c>
      <c r="D11" s="10" t="s">
        <v>10</v>
      </c>
      <c r="E11" s="10" t="s">
        <v>59</v>
      </c>
      <c r="F11" s="10" t="s">
        <v>148</v>
      </c>
      <c r="G11" s="14" t="s">
        <v>15</v>
      </c>
      <c r="H11" s="10" t="s">
        <v>75</v>
      </c>
      <c r="I11" s="10"/>
      <c r="J11" s="10"/>
      <c r="K11" s="10">
        <v>1</v>
      </c>
      <c r="L11" s="10">
        <v>12</v>
      </c>
      <c r="M11" s="10">
        <v>42</v>
      </c>
      <c r="N11" s="10"/>
      <c r="O11" s="10"/>
      <c r="P11" s="10"/>
      <c r="Q11" s="10"/>
      <c r="R11" s="10"/>
      <c r="S11" s="10"/>
    </row>
    <row r="12" spans="1:19" ht="28.8" x14ac:dyDescent="0.3">
      <c r="A12" s="12" t="s">
        <v>31</v>
      </c>
      <c r="B12" s="25">
        <v>45461</v>
      </c>
      <c r="C12" s="12" t="s">
        <v>72</v>
      </c>
      <c r="D12" s="12" t="s">
        <v>10</v>
      </c>
      <c r="E12" s="12" t="s">
        <v>59</v>
      </c>
      <c r="F12" s="12" t="s">
        <v>152</v>
      </c>
      <c r="G12" s="17" t="s">
        <v>17</v>
      </c>
      <c r="H12" s="12" t="s">
        <v>76</v>
      </c>
      <c r="I12" s="12">
        <v>1</v>
      </c>
      <c r="J12" s="12"/>
      <c r="K12" s="12"/>
      <c r="L12" s="12">
        <v>43</v>
      </c>
      <c r="M12" s="12">
        <v>35</v>
      </c>
      <c r="N12" s="12"/>
      <c r="O12" s="12"/>
      <c r="P12" s="12"/>
      <c r="Q12" s="12"/>
      <c r="R12" s="12"/>
      <c r="S12" s="12"/>
    </row>
    <row r="13" spans="1:19" ht="28.8" x14ac:dyDescent="0.3">
      <c r="A13" s="10" t="s">
        <v>31</v>
      </c>
      <c r="B13" s="23">
        <v>45461</v>
      </c>
      <c r="C13" s="10" t="s">
        <v>72</v>
      </c>
      <c r="D13" s="10" t="s">
        <v>10</v>
      </c>
      <c r="E13" s="10" t="s">
        <v>59</v>
      </c>
      <c r="F13" s="10" t="s">
        <v>153</v>
      </c>
      <c r="G13" s="14" t="s">
        <v>15</v>
      </c>
      <c r="H13" s="10" t="s">
        <v>77</v>
      </c>
      <c r="I13" s="10"/>
      <c r="J13" s="10"/>
      <c r="K13" s="10">
        <v>1</v>
      </c>
      <c r="L13" s="10">
        <v>29</v>
      </c>
      <c r="M13" s="10">
        <v>42</v>
      </c>
      <c r="N13" s="10">
        <v>15</v>
      </c>
      <c r="O13" s="10"/>
      <c r="P13" s="10"/>
      <c r="Q13" s="10"/>
      <c r="R13" s="10"/>
      <c r="S13" s="10"/>
    </row>
    <row r="14" spans="1:19" x14ac:dyDescent="0.3">
      <c r="B14" s="9"/>
      <c r="E14" s="3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832D-DF07-470D-BD81-86AEA5D4C065}">
  <dimension ref="A1:S13"/>
  <sheetViews>
    <sheetView topLeftCell="A2" workbookViewId="0">
      <selection activeCell="F2" sqref="F1:F1048576"/>
    </sheetView>
  </sheetViews>
  <sheetFormatPr defaultRowHeight="14.4" x14ac:dyDescent="0.3"/>
  <cols>
    <col min="1" max="3" width="10.77734375" customWidth="1"/>
    <col min="4" max="6" width="14.77734375" customWidth="1"/>
    <col min="7" max="19" width="10.77734375" customWidth="1"/>
  </cols>
  <sheetData>
    <row r="1" spans="1:19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1"/>
      <c r="G1" s="11" t="s">
        <v>5</v>
      </c>
      <c r="H1" s="11" t="s">
        <v>6</v>
      </c>
      <c r="I1" s="11">
        <v>3</v>
      </c>
      <c r="J1" s="11">
        <v>1</v>
      </c>
      <c r="K1" s="11">
        <v>0</v>
      </c>
      <c r="L1" s="11" t="s">
        <v>7</v>
      </c>
      <c r="M1" s="11" t="s">
        <v>7</v>
      </c>
      <c r="N1" s="27" t="s">
        <v>102</v>
      </c>
      <c r="O1" s="15"/>
      <c r="P1" s="11" t="s">
        <v>35</v>
      </c>
      <c r="Q1" s="11" t="s">
        <v>114</v>
      </c>
      <c r="R1" s="11" t="s">
        <v>56</v>
      </c>
      <c r="S1" s="11" t="s">
        <v>57</v>
      </c>
    </row>
    <row r="2" spans="1:19" ht="28.8" x14ac:dyDescent="0.3">
      <c r="A2" s="12" t="s">
        <v>31</v>
      </c>
      <c r="B2" s="16">
        <v>45107</v>
      </c>
      <c r="C2" s="12" t="s">
        <v>32</v>
      </c>
      <c r="D2" s="12" t="s">
        <v>33</v>
      </c>
      <c r="E2" s="12" t="s">
        <v>35</v>
      </c>
      <c r="F2" s="12" t="s">
        <v>190</v>
      </c>
      <c r="G2" s="12" t="s">
        <v>15</v>
      </c>
      <c r="H2" s="12" t="s">
        <v>34</v>
      </c>
      <c r="I2" s="12"/>
      <c r="J2" s="12"/>
      <c r="K2" s="12">
        <v>1</v>
      </c>
      <c r="L2" s="12">
        <v>20</v>
      </c>
      <c r="M2" s="12">
        <v>42</v>
      </c>
      <c r="N2" s="12"/>
      <c r="O2" s="18" t="s">
        <v>113</v>
      </c>
      <c r="P2" s="12">
        <f>SUM(I2:I13)</f>
        <v>1</v>
      </c>
      <c r="Q2" s="12">
        <f>SUM(J2:J13)</f>
        <v>2</v>
      </c>
      <c r="R2" s="12">
        <f>SUM(K2:K13)</f>
        <v>9</v>
      </c>
      <c r="S2" s="12">
        <f>SUM(P2:R2)</f>
        <v>12</v>
      </c>
    </row>
    <row r="3" spans="1:19" ht="28.8" x14ac:dyDescent="0.3">
      <c r="A3" s="10" t="s">
        <v>31</v>
      </c>
      <c r="B3" s="13">
        <v>45107</v>
      </c>
      <c r="C3" s="10" t="s">
        <v>32</v>
      </c>
      <c r="D3" s="10" t="s">
        <v>33</v>
      </c>
      <c r="E3" s="10" t="s">
        <v>35</v>
      </c>
      <c r="F3" s="10" t="s">
        <v>191</v>
      </c>
      <c r="G3" s="10" t="s">
        <v>15</v>
      </c>
      <c r="H3" s="10" t="s">
        <v>36</v>
      </c>
      <c r="I3" s="10"/>
      <c r="J3" s="10"/>
      <c r="K3" s="10">
        <v>1</v>
      </c>
      <c r="L3" s="10">
        <v>24</v>
      </c>
      <c r="M3" s="10">
        <v>42</v>
      </c>
      <c r="N3" s="10"/>
      <c r="O3" s="29" t="s">
        <v>7</v>
      </c>
      <c r="P3" s="30">
        <f>3*SUM(I2:I13)+SUM(J2:J13)</f>
        <v>5</v>
      </c>
      <c r="Q3" s="30"/>
      <c r="R3" s="30">
        <f>SUM(K2:K13)*3+SUM(J2:J13)</f>
        <v>29</v>
      </c>
      <c r="S3" s="30">
        <f>SUM(P3:R3)</f>
        <v>34</v>
      </c>
    </row>
    <row r="4" spans="1:19" ht="28.8" x14ac:dyDescent="0.3">
      <c r="A4" s="12" t="s">
        <v>31</v>
      </c>
      <c r="B4" s="16">
        <v>45107</v>
      </c>
      <c r="C4" s="12" t="s">
        <v>32</v>
      </c>
      <c r="D4" s="12" t="s">
        <v>33</v>
      </c>
      <c r="E4" s="12" t="s">
        <v>35</v>
      </c>
      <c r="F4" s="12" t="s">
        <v>192</v>
      </c>
      <c r="G4" s="17" t="s">
        <v>37</v>
      </c>
      <c r="H4" s="12" t="s">
        <v>38</v>
      </c>
      <c r="I4" s="12"/>
      <c r="J4" s="12">
        <v>1</v>
      </c>
      <c r="K4" s="12"/>
      <c r="L4" s="12">
        <v>40</v>
      </c>
      <c r="M4" s="12">
        <v>35</v>
      </c>
      <c r="N4" s="12"/>
      <c r="O4" s="18" t="s">
        <v>58</v>
      </c>
      <c r="P4" s="12">
        <f>SUM(L2:L13)</f>
        <v>327</v>
      </c>
      <c r="Q4" s="12"/>
      <c r="R4" s="12">
        <f>SUM(M2:M13)</f>
        <v>496</v>
      </c>
      <c r="S4" s="12">
        <f>SUM(P4:R4)</f>
        <v>823</v>
      </c>
    </row>
    <row r="5" spans="1:19" ht="28.8" x14ac:dyDescent="0.3">
      <c r="A5" s="10" t="s">
        <v>31</v>
      </c>
      <c r="B5" s="13">
        <v>45107</v>
      </c>
      <c r="C5" s="10" t="s">
        <v>32</v>
      </c>
      <c r="D5" s="10" t="s">
        <v>33</v>
      </c>
      <c r="E5" s="10" t="s">
        <v>35</v>
      </c>
      <c r="F5" s="10" t="s">
        <v>146</v>
      </c>
      <c r="G5" s="14" t="s">
        <v>37</v>
      </c>
      <c r="H5" s="10" t="s">
        <v>39</v>
      </c>
      <c r="I5" s="10"/>
      <c r="J5" s="10">
        <v>1</v>
      </c>
      <c r="K5" s="10"/>
      <c r="L5" s="10">
        <v>35</v>
      </c>
      <c r="M5" s="10">
        <v>38</v>
      </c>
      <c r="N5" s="10"/>
      <c r="O5" s="10"/>
      <c r="P5" s="10"/>
      <c r="Q5" s="10"/>
      <c r="R5" s="10"/>
      <c r="S5" s="10"/>
    </row>
    <row r="6" spans="1:19" ht="28.8" x14ac:dyDescent="0.3">
      <c r="A6" s="12" t="s">
        <v>31</v>
      </c>
      <c r="B6" s="16">
        <v>45107</v>
      </c>
      <c r="C6" s="12" t="s">
        <v>32</v>
      </c>
      <c r="D6" s="12" t="s">
        <v>33</v>
      </c>
      <c r="E6" s="12" t="s">
        <v>35</v>
      </c>
      <c r="F6" s="12" t="s">
        <v>193</v>
      </c>
      <c r="G6" s="17" t="s">
        <v>29</v>
      </c>
      <c r="H6" s="12" t="s">
        <v>40</v>
      </c>
      <c r="I6" s="12"/>
      <c r="J6" s="12"/>
      <c r="K6" s="12">
        <v>1</v>
      </c>
      <c r="L6" s="12">
        <v>43</v>
      </c>
      <c r="M6" s="12">
        <v>54</v>
      </c>
      <c r="N6" s="12">
        <v>15</v>
      </c>
      <c r="O6" s="12"/>
      <c r="P6" s="12"/>
      <c r="Q6" s="12"/>
      <c r="R6" s="12"/>
      <c r="S6" s="12"/>
    </row>
    <row r="7" spans="1:19" ht="28.8" x14ac:dyDescent="0.3">
      <c r="A7" s="10" t="s">
        <v>31</v>
      </c>
      <c r="B7" s="13">
        <v>45112</v>
      </c>
      <c r="C7" s="10" t="s">
        <v>9</v>
      </c>
      <c r="D7" s="10" t="s">
        <v>41</v>
      </c>
      <c r="E7" s="10" t="s">
        <v>35</v>
      </c>
      <c r="F7" s="10" t="s">
        <v>194</v>
      </c>
      <c r="G7" s="14" t="s">
        <v>15</v>
      </c>
      <c r="H7" s="10" t="s">
        <v>42</v>
      </c>
      <c r="I7" s="10"/>
      <c r="J7" s="10"/>
      <c r="K7" s="10">
        <v>1</v>
      </c>
      <c r="L7" s="10">
        <v>21</v>
      </c>
      <c r="M7" s="10">
        <v>42</v>
      </c>
      <c r="N7" s="10"/>
      <c r="O7" s="10"/>
      <c r="P7" s="10"/>
      <c r="Q7" s="10"/>
      <c r="R7" s="10"/>
      <c r="S7" s="10"/>
    </row>
    <row r="8" spans="1:19" ht="28.8" x14ac:dyDescent="0.3">
      <c r="A8" s="12" t="s">
        <v>31</v>
      </c>
      <c r="B8" s="16">
        <v>45112</v>
      </c>
      <c r="C8" s="12" t="s">
        <v>9</v>
      </c>
      <c r="D8" s="12" t="s">
        <v>41</v>
      </c>
      <c r="E8" s="12" t="s">
        <v>35</v>
      </c>
      <c r="F8" s="12" t="s">
        <v>143</v>
      </c>
      <c r="G8" s="17" t="s">
        <v>15</v>
      </c>
      <c r="H8" s="17" t="s">
        <v>43</v>
      </c>
      <c r="I8" s="12"/>
      <c r="J8" s="12"/>
      <c r="K8" s="12">
        <v>1</v>
      </c>
      <c r="L8" s="12">
        <v>15</v>
      </c>
      <c r="M8" s="12">
        <v>42</v>
      </c>
      <c r="N8" s="12"/>
      <c r="O8" s="12"/>
      <c r="P8" s="12"/>
      <c r="Q8" s="12"/>
      <c r="R8" s="12"/>
      <c r="S8" s="12"/>
    </row>
    <row r="9" spans="1:19" ht="28.8" x14ac:dyDescent="0.3">
      <c r="A9" s="10" t="s">
        <v>31</v>
      </c>
      <c r="B9" s="13">
        <v>45112</v>
      </c>
      <c r="C9" s="10" t="s">
        <v>9</v>
      </c>
      <c r="D9" s="10" t="s">
        <v>41</v>
      </c>
      <c r="E9" s="10" t="s">
        <v>35</v>
      </c>
      <c r="F9" s="10" t="s">
        <v>142</v>
      </c>
      <c r="G9" s="14" t="s">
        <v>17</v>
      </c>
      <c r="H9" s="10" t="s">
        <v>44</v>
      </c>
      <c r="I9" s="10">
        <v>1</v>
      </c>
      <c r="J9" s="10"/>
      <c r="K9" s="10"/>
      <c r="L9" s="10">
        <v>42</v>
      </c>
      <c r="M9" s="10">
        <v>33</v>
      </c>
      <c r="N9" s="10"/>
      <c r="O9" s="10"/>
      <c r="P9" s="10"/>
      <c r="Q9" s="10"/>
      <c r="R9" s="10"/>
      <c r="S9" s="10"/>
    </row>
    <row r="10" spans="1:19" ht="28.8" x14ac:dyDescent="0.3">
      <c r="A10" s="12" t="s">
        <v>31</v>
      </c>
      <c r="B10" s="16">
        <v>45112</v>
      </c>
      <c r="C10" s="12" t="s">
        <v>9</v>
      </c>
      <c r="D10" s="12" t="s">
        <v>41</v>
      </c>
      <c r="E10" s="12" t="s">
        <v>35</v>
      </c>
      <c r="F10" s="12" t="s">
        <v>141</v>
      </c>
      <c r="G10" s="17" t="s">
        <v>15</v>
      </c>
      <c r="H10" s="12" t="s">
        <v>45</v>
      </c>
      <c r="I10" s="12"/>
      <c r="J10" s="12"/>
      <c r="K10" s="12">
        <v>1</v>
      </c>
      <c r="L10" s="12">
        <v>29</v>
      </c>
      <c r="M10" s="12">
        <v>42</v>
      </c>
      <c r="N10" s="12">
        <v>9</v>
      </c>
      <c r="O10" s="12"/>
      <c r="P10" s="12"/>
      <c r="Q10" s="12"/>
      <c r="R10" s="12"/>
      <c r="S10" s="12"/>
    </row>
    <row r="11" spans="1:19" ht="28.8" x14ac:dyDescent="0.3">
      <c r="A11" s="10" t="s">
        <v>31</v>
      </c>
      <c r="B11" s="13">
        <v>45122</v>
      </c>
      <c r="C11" s="10" t="s">
        <v>46</v>
      </c>
      <c r="D11" s="10" t="s">
        <v>47</v>
      </c>
      <c r="E11" s="10" t="s">
        <v>35</v>
      </c>
      <c r="F11" s="14" t="s">
        <v>140</v>
      </c>
      <c r="G11" s="14" t="s">
        <v>15</v>
      </c>
      <c r="H11" s="10" t="s">
        <v>48</v>
      </c>
      <c r="I11" s="10"/>
      <c r="J11" s="10"/>
      <c r="K11" s="10">
        <v>1</v>
      </c>
      <c r="L11" s="10">
        <v>14</v>
      </c>
      <c r="M11" s="10">
        <v>42</v>
      </c>
      <c r="N11" s="10"/>
      <c r="O11" s="10"/>
      <c r="P11" s="10"/>
      <c r="Q11" s="10"/>
      <c r="R11" s="10"/>
      <c r="S11" s="10"/>
    </row>
    <row r="12" spans="1:19" ht="28.8" x14ac:dyDescent="0.3">
      <c r="A12" s="12" t="s">
        <v>31</v>
      </c>
      <c r="B12" s="16">
        <v>45122</v>
      </c>
      <c r="C12" s="12" t="s">
        <v>46</v>
      </c>
      <c r="D12" s="12" t="s">
        <v>47</v>
      </c>
      <c r="E12" s="12" t="s">
        <v>35</v>
      </c>
      <c r="F12" s="17" t="s">
        <v>139</v>
      </c>
      <c r="G12" s="17" t="s">
        <v>15</v>
      </c>
      <c r="H12" s="12" t="s">
        <v>49</v>
      </c>
      <c r="I12" s="12"/>
      <c r="J12" s="12"/>
      <c r="K12" s="12">
        <v>1</v>
      </c>
      <c r="L12" s="12">
        <v>21</v>
      </c>
      <c r="M12" s="12">
        <v>42</v>
      </c>
      <c r="N12" s="12"/>
      <c r="O12" s="12"/>
      <c r="P12" s="12"/>
      <c r="Q12" s="12"/>
      <c r="R12" s="12"/>
      <c r="S12" s="12"/>
    </row>
    <row r="13" spans="1:19" ht="28.8" x14ac:dyDescent="0.3">
      <c r="A13" s="13" t="s">
        <v>31</v>
      </c>
      <c r="B13" s="13">
        <v>45122</v>
      </c>
      <c r="C13" s="10" t="s">
        <v>46</v>
      </c>
      <c r="D13" s="10" t="s">
        <v>47</v>
      </c>
      <c r="E13" s="10" t="s">
        <v>35</v>
      </c>
      <c r="F13" s="14" t="s">
        <v>138</v>
      </c>
      <c r="G13" s="14" t="s">
        <v>15</v>
      </c>
      <c r="H13" s="10" t="s">
        <v>50</v>
      </c>
      <c r="I13" s="10"/>
      <c r="J13" s="10"/>
      <c r="K13" s="10">
        <v>1</v>
      </c>
      <c r="L13" s="10">
        <v>23</v>
      </c>
      <c r="M13" s="10">
        <v>42</v>
      </c>
      <c r="N13" s="10">
        <v>9</v>
      </c>
      <c r="O13" s="10"/>
      <c r="P13" s="10"/>
      <c r="Q13" s="10"/>
      <c r="R13" s="10"/>
      <c r="S13" s="10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H10" sqref="H10"/>
    </sheetView>
  </sheetViews>
  <sheetFormatPr defaultRowHeight="14.4" x14ac:dyDescent="0.3"/>
  <cols>
    <col min="1" max="3" width="10.77734375" customWidth="1"/>
    <col min="4" max="6" width="14.77734375" customWidth="1"/>
    <col min="7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1"/>
      <c r="G1" s="11" t="s">
        <v>5</v>
      </c>
      <c r="H1" s="11" t="s">
        <v>6</v>
      </c>
      <c r="I1" s="11">
        <v>3</v>
      </c>
      <c r="J1" s="11">
        <v>1</v>
      </c>
      <c r="K1" s="11">
        <v>0</v>
      </c>
      <c r="L1" s="11" t="s">
        <v>7</v>
      </c>
      <c r="M1" s="11" t="s">
        <v>7</v>
      </c>
      <c r="N1" s="27" t="s">
        <v>102</v>
      </c>
      <c r="O1" s="11"/>
      <c r="P1" s="11" t="s">
        <v>55</v>
      </c>
      <c r="Q1" s="11" t="s">
        <v>56</v>
      </c>
      <c r="R1" s="11" t="s">
        <v>57</v>
      </c>
    </row>
    <row r="2" spans="1:18" ht="28.8" x14ac:dyDescent="0.3">
      <c r="A2" s="12" t="s">
        <v>8</v>
      </c>
      <c r="B2" s="16">
        <v>45091</v>
      </c>
      <c r="C2" s="12" t="s">
        <v>9</v>
      </c>
      <c r="D2" s="12" t="s">
        <v>10</v>
      </c>
      <c r="E2" s="12" t="s">
        <v>11</v>
      </c>
      <c r="F2" s="12" t="s">
        <v>12</v>
      </c>
      <c r="G2" s="17" t="s">
        <v>13</v>
      </c>
      <c r="H2" s="12" t="s">
        <v>14</v>
      </c>
      <c r="I2" s="12">
        <v>1</v>
      </c>
      <c r="J2" s="12"/>
      <c r="K2" s="12"/>
      <c r="L2" s="12">
        <v>54</v>
      </c>
      <c r="M2" s="12">
        <v>50</v>
      </c>
      <c r="N2" s="12"/>
      <c r="O2" s="18" t="s">
        <v>113</v>
      </c>
      <c r="P2" s="12">
        <f>SUM(I2:I13)</f>
        <v>9</v>
      </c>
      <c r="Q2" s="12">
        <f>SUM(K2:K13)</f>
        <v>3</v>
      </c>
      <c r="R2" s="12">
        <f>SUM(P2:Q2)</f>
        <v>12</v>
      </c>
    </row>
    <row r="3" spans="1:18" ht="28.8" x14ac:dyDescent="0.3">
      <c r="A3" s="10" t="s">
        <v>8</v>
      </c>
      <c r="B3" s="13">
        <v>45091</v>
      </c>
      <c r="C3" s="10" t="s">
        <v>9</v>
      </c>
      <c r="D3" s="10" t="s">
        <v>10</v>
      </c>
      <c r="E3" s="10" t="s">
        <v>11</v>
      </c>
      <c r="F3" s="10" t="s">
        <v>134</v>
      </c>
      <c r="G3" s="10" t="s">
        <v>15</v>
      </c>
      <c r="H3" s="10" t="s">
        <v>16</v>
      </c>
      <c r="I3" s="10"/>
      <c r="J3" s="10"/>
      <c r="K3" s="10">
        <v>1</v>
      </c>
      <c r="L3" s="10">
        <v>31</v>
      </c>
      <c r="M3" s="10">
        <v>42</v>
      </c>
      <c r="N3" s="10"/>
      <c r="O3" s="29" t="s">
        <v>7</v>
      </c>
      <c r="P3" s="30">
        <f>SUM(I2:I13)*3</f>
        <v>27</v>
      </c>
      <c r="Q3" s="30">
        <f>SUM(K2:K13)*3</f>
        <v>9</v>
      </c>
      <c r="R3" s="30">
        <f>SUM(P3:Q3)</f>
        <v>36</v>
      </c>
    </row>
    <row r="4" spans="1:18" ht="28.8" x14ac:dyDescent="0.3">
      <c r="A4" s="12" t="s">
        <v>8</v>
      </c>
      <c r="B4" s="16">
        <v>45091</v>
      </c>
      <c r="C4" s="12" t="s">
        <v>9</v>
      </c>
      <c r="D4" s="12" t="s">
        <v>10</v>
      </c>
      <c r="E4" s="12" t="s">
        <v>11</v>
      </c>
      <c r="F4" s="12" t="s">
        <v>136</v>
      </c>
      <c r="G4" s="12" t="s">
        <v>17</v>
      </c>
      <c r="H4" s="12" t="s">
        <v>18</v>
      </c>
      <c r="I4" s="12">
        <v>1</v>
      </c>
      <c r="J4" s="12"/>
      <c r="K4" s="12"/>
      <c r="L4" s="12">
        <v>42</v>
      </c>
      <c r="M4" s="12">
        <v>9</v>
      </c>
      <c r="N4" s="12"/>
      <c r="O4" s="18" t="s">
        <v>58</v>
      </c>
      <c r="P4" s="12">
        <f>SUM(L2:L13)</f>
        <v>507</v>
      </c>
      <c r="Q4" s="12">
        <f>SUM(M2:M13)</f>
        <v>356</v>
      </c>
      <c r="R4" s="12">
        <f>SUM(P4:Q4)</f>
        <v>863</v>
      </c>
    </row>
    <row r="5" spans="1:18" ht="28.8" x14ac:dyDescent="0.3">
      <c r="A5" s="10" t="s">
        <v>8</v>
      </c>
      <c r="B5" s="13">
        <v>45091</v>
      </c>
      <c r="C5" s="10" t="s">
        <v>9</v>
      </c>
      <c r="D5" s="10" t="s">
        <v>10</v>
      </c>
      <c r="E5" s="10" t="s">
        <v>11</v>
      </c>
      <c r="F5" s="10" t="s">
        <v>132</v>
      </c>
      <c r="G5" s="10" t="s">
        <v>17</v>
      </c>
      <c r="H5" s="28" t="s">
        <v>19</v>
      </c>
      <c r="I5" s="10">
        <v>1</v>
      </c>
      <c r="J5" s="10"/>
      <c r="K5" s="10"/>
      <c r="L5" s="10">
        <v>42</v>
      </c>
      <c r="M5" s="10">
        <v>20</v>
      </c>
      <c r="N5" s="10"/>
      <c r="O5" s="10"/>
      <c r="P5" s="10"/>
      <c r="Q5" s="10"/>
      <c r="R5" s="10"/>
    </row>
    <row r="6" spans="1:18" ht="28.8" x14ac:dyDescent="0.3">
      <c r="A6" s="12" t="s">
        <v>8</v>
      </c>
      <c r="B6" s="16">
        <v>45091</v>
      </c>
      <c r="C6" s="12" t="s">
        <v>9</v>
      </c>
      <c r="D6" s="12" t="s">
        <v>10</v>
      </c>
      <c r="E6" s="12" t="s">
        <v>11</v>
      </c>
      <c r="F6" s="12" t="s">
        <v>133</v>
      </c>
      <c r="G6" s="17" t="s">
        <v>13</v>
      </c>
      <c r="H6" s="12" t="s">
        <v>20</v>
      </c>
      <c r="I6" s="12">
        <v>1</v>
      </c>
      <c r="J6" s="12"/>
      <c r="K6" s="12"/>
      <c r="L6" s="12">
        <v>53</v>
      </c>
      <c r="M6" s="12">
        <v>50</v>
      </c>
      <c r="N6" s="12"/>
      <c r="O6" s="12"/>
      <c r="P6" s="12"/>
      <c r="Q6" s="12"/>
      <c r="R6" s="12"/>
    </row>
    <row r="7" spans="1:18" ht="28.8" x14ac:dyDescent="0.3">
      <c r="A7" s="10" t="s">
        <v>8</v>
      </c>
      <c r="B7" s="13">
        <v>45091</v>
      </c>
      <c r="C7" s="10" t="s">
        <v>9</v>
      </c>
      <c r="D7" s="10" t="s">
        <v>10</v>
      </c>
      <c r="E7" s="10" t="s">
        <v>11</v>
      </c>
      <c r="F7" s="10" t="s">
        <v>134</v>
      </c>
      <c r="G7" s="10" t="s">
        <v>15</v>
      </c>
      <c r="H7" s="10" t="s">
        <v>21</v>
      </c>
      <c r="I7" s="10"/>
      <c r="J7" s="10"/>
      <c r="K7" s="10">
        <v>1</v>
      </c>
      <c r="L7" s="10">
        <v>24</v>
      </c>
      <c r="M7" s="10">
        <v>42</v>
      </c>
      <c r="N7" s="10">
        <v>2</v>
      </c>
      <c r="O7" s="10"/>
      <c r="P7" s="10"/>
      <c r="Q7" s="10"/>
      <c r="R7" s="10"/>
    </row>
    <row r="8" spans="1:18" ht="28.8" x14ac:dyDescent="0.3">
      <c r="A8" s="12" t="s">
        <v>8</v>
      </c>
      <c r="B8" s="16">
        <v>45095</v>
      </c>
      <c r="C8" s="12" t="s">
        <v>22</v>
      </c>
      <c r="D8" s="12" t="s">
        <v>23</v>
      </c>
      <c r="E8" s="12" t="s">
        <v>11</v>
      </c>
      <c r="F8" s="12" t="s">
        <v>135</v>
      </c>
      <c r="G8" s="12" t="s">
        <v>17</v>
      </c>
      <c r="H8" s="12" t="s">
        <v>24</v>
      </c>
      <c r="I8" s="12">
        <v>1</v>
      </c>
      <c r="J8" s="12"/>
      <c r="K8" s="12"/>
      <c r="L8" s="12">
        <v>42</v>
      </c>
      <c r="M8" s="12">
        <v>14</v>
      </c>
      <c r="N8" s="12"/>
      <c r="O8" s="12"/>
      <c r="P8" s="12"/>
      <c r="Q8" s="12"/>
      <c r="R8" s="12"/>
    </row>
    <row r="9" spans="1:18" ht="28.8" x14ac:dyDescent="0.3">
      <c r="A9" s="10" t="s">
        <v>8</v>
      </c>
      <c r="B9" s="13">
        <v>45095</v>
      </c>
      <c r="C9" s="10" t="s">
        <v>22</v>
      </c>
      <c r="D9" s="10" t="s">
        <v>23</v>
      </c>
      <c r="E9" s="10" t="s">
        <v>11</v>
      </c>
      <c r="F9" s="10" t="s">
        <v>136</v>
      </c>
      <c r="G9" s="10" t="s">
        <v>17</v>
      </c>
      <c r="H9" s="10" t="s">
        <v>25</v>
      </c>
      <c r="I9" s="10">
        <v>1</v>
      </c>
      <c r="J9" s="10"/>
      <c r="K9" s="10"/>
      <c r="L9" s="10">
        <v>42</v>
      </c>
      <c r="M9" s="10">
        <v>15</v>
      </c>
      <c r="N9" s="10"/>
      <c r="O9" s="10"/>
      <c r="P9" s="10"/>
      <c r="Q9" s="10"/>
      <c r="R9" s="10"/>
    </row>
    <row r="10" spans="1:18" ht="28.8" x14ac:dyDescent="0.3">
      <c r="A10" s="12" t="s">
        <v>8</v>
      </c>
      <c r="B10" s="16">
        <v>45095</v>
      </c>
      <c r="C10" s="12" t="s">
        <v>22</v>
      </c>
      <c r="D10" s="12" t="s">
        <v>23</v>
      </c>
      <c r="E10" s="12" t="s">
        <v>11</v>
      </c>
      <c r="F10" s="12" t="s">
        <v>12</v>
      </c>
      <c r="G10" s="12" t="s">
        <v>17</v>
      </c>
      <c r="H10" s="12" t="s">
        <v>26</v>
      </c>
      <c r="I10" s="12">
        <v>1</v>
      </c>
      <c r="J10" s="12"/>
      <c r="K10" s="12"/>
      <c r="L10" s="12">
        <v>42</v>
      </c>
      <c r="M10" s="12">
        <v>32</v>
      </c>
      <c r="N10" s="12"/>
      <c r="O10" s="12"/>
      <c r="P10" s="12"/>
      <c r="Q10" s="12"/>
      <c r="R10" s="12"/>
    </row>
    <row r="11" spans="1:18" ht="28.8" x14ac:dyDescent="0.3">
      <c r="A11" s="10" t="s">
        <v>8</v>
      </c>
      <c r="B11" s="13">
        <v>45095</v>
      </c>
      <c r="C11" s="10" t="s">
        <v>22</v>
      </c>
      <c r="D11" s="10" t="s">
        <v>23</v>
      </c>
      <c r="E11" s="10" t="s">
        <v>11</v>
      </c>
      <c r="F11" s="10" t="s">
        <v>137</v>
      </c>
      <c r="G11" s="10" t="s">
        <v>17</v>
      </c>
      <c r="H11" s="10" t="s">
        <v>27</v>
      </c>
      <c r="I11" s="10">
        <v>1</v>
      </c>
      <c r="J11" s="10"/>
      <c r="K11" s="10"/>
      <c r="L11" s="10">
        <v>42</v>
      </c>
      <c r="M11" s="10">
        <v>9</v>
      </c>
      <c r="N11" s="10"/>
      <c r="O11" s="10"/>
      <c r="P11" s="10"/>
      <c r="Q11" s="10"/>
      <c r="R11" s="10"/>
    </row>
    <row r="12" spans="1:18" ht="28.8" x14ac:dyDescent="0.3">
      <c r="A12" s="12" t="s">
        <v>8</v>
      </c>
      <c r="B12" s="16">
        <v>45095</v>
      </c>
      <c r="C12" s="12" t="s">
        <v>22</v>
      </c>
      <c r="D12" s="12" t="s">
        <v>23</v>
      </c>
      <c r="E12" s="12" t="s">
        <v>11</v>
      </c>
      <c r="F12" s="12" t="s">
        <v>133</v>
      </c>
      <c r="G12" s="12" t="s">
        <v>17</v>
      </c>
      <c r="H12" s="12" t="s">
        <v>28</v>
      </c>
      <c r="I12" s="12">
        <v>1</v>
      </c>
      <c r="J12" s="12"/>
      <c r="K12" s="12"/>
      <c r="L12" s="12">
        <v>42</v>
      </c>
      <c r="M12" s="12">
        <v>21</v>
      </c>
      <c r="N12" s="12"/>
      <c r="O12" s="12"/>
      <c r="P12" s="12"/>
      <c r="Q12" s="12"/>
      <c r="R12" s="12"/>
    </row>
    <row r="13" spans="1:18" ht="28.8" x14ac:dyDescent="0.3">
      <c r="A13" s="10" t="s">
        <v>8</v>
      </c>
      <c r="B13" s="13">
        <v>45095</v>
      </c>
      <c r="C13" s="10" t="s">
        <v>22</v>
      </c>
      <c r="D13" s="10" t="s">
        <v>23</v>
      </c>
      <c r="E13" s="10" t="s">
        <v>11</v>
      </c>
      <c r="F13" s="10" t="s">
        <v>134</v>
      </c>
      <c r="G13" s="14" t="s">
        <v>29</v>
      </c>
      <c r="H13" s="10" t="s">
        <v>30</v>
      </c>
      <c r="I13" s="10"/>
      <c r="J13" s="10"/>
      <c r="K13" s="10">
        <v>1</v>
      </c>
      <c r="L13" s="10">
        <v>51</v>
      </c>
      <c r="M13" s="10">
        <v>52</v>
      </c>
      <c r="N13" s="10">
        <v>2</v>
      </c>
      <c r="O13" s="10"/>
      <c r="P13" s="10"/>
      <c r="Q13" s="10"/>
      <c r="R13" s="10"/>
    </row>
    <row r="14" spans="1:18" x14ac:dyDescent="0.3">
      <c r="B14" s="2"/>
      <c r="E14" s="3"/>
    </row>
    <row r="15" spans="1:18" x14ac:dyDescent="0.3">
      <c r="B15" s="2"/>
      <c r="E15" s="3"/>
    </row>
    <row r="16" spans="1:18" x14ac:dyDescent="0.3">
      <c r="B16" s="2"/>
      <c r="E16" s="3"/>
      <c r="G16" s="4"/>
    </row>
    <row r="17" spans="1:8" x14ac:dyDescent="0.3">
      <c r="B17" s="2"/>
      <c r="E17" s="3"/>
      <c r="G17" s="4"/>
    </row>
    <row r="18" spans="1:8" x14ac:dyDescent="0.3">
      <c r="B18" s="2"/>
      <c r="E18" s="3"/>
      <c r="G18" s="4"/>
    </row>
    <row r="19" spans="1:8" x14ac:dyDescent="0.3">
      <c r="B19" s="2"/>
      <c r="E19" s="3"/>
      <c r="G19" s="4"/>
    </row>
    <row r="20" spans="1:8" x14ac:dyDescent="0.3">
      <c r="B20" s="2"/>
      <c r="E20" s="3"/>
      <c r="G20" s="4"/>
      <c r="H20" s="4"/>
    </row>
    <row r="21" spans="1:8" x14ac:dyDescent="0.3">
      <c r="B21" s="2"/>
      <c r="E21" s="3"/>
      <c r="G21" s="4"/>
    </row>
    <row r="22" spans="1:8" x14ac:dyDescent="0.3">
      <c r="B22" s="2"/>
      <c r="E22" s="3"/>
      <c r="G22" s="4"/>
    </row>
    <row r="23" spans="1:8" x14ac:dyDescent="0.3">
      <c r="B23" s="2"/>
      <c r="E23" s="3"/>
      <c r="F23" s="5"/>
      <c r="G23" s="4"/>
    </row>
    <row r="24" spans="1:8" x14ac:dyDescent="0.3">
      <c r="B24" s="2"/>
      <c r="E24" s="3"/>
      <c r="F24" s="4"/>
      <c r="G24" s="4"/>
    </row>
    <row r="25" spans="1:8" x14ac:dyDescent="0.3">
      <c r="A25" s="2"/>
      <c r="B25" s="2"/>
      <c r="E25" s="3"/>
      <c r="F25" s="4"/>
      <c r="G25" s="4"/>
    </row>
    <row r="26" spans="1:8" x14ac:dyDescent="0.3">
      <c r="B26" s="2"/>
      <c r="E26" s="3"/>
      <c r="G26" s="4"/>
    </row>
    <row r="27" spans="1:8" x14ac:dyDescent="0.3">
      <c r="B27" s="2"/>
      <c r="E27" s="3"/>
      <c r="G27" s="4"/>
    </row>
    <row r="28" spans="1:8" x14ac:dyDescent="0.3">
      <c r="B28" s="2"/>
      <c r="E28" s="3"/>
      <c r="G28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</vt:lpstr>
      <vt:lpstr>JNCT_2026</vt:lpstr>
      <vt:lpstr>U18_2026</vt:lpstr>
      <vt:lpstr>U18_2025</vt:lpstr>
      <vt:lpstr>U16_2025</vt:lpstr>
      <vt:lpstr>U16_2024</vt:lpstr>
      <vt:lpstr>U16_2023</vt:lpstr>
      <vt:lpstr>U14_2023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Katoperä</dc:creator>
  <cp:lastModifiedBy>Janne Katoperä</cp:lastModifiedBy>
  <dcterms:created xsi:type="dcterms:W3CDTF">2015-06-05T18:17:20Z</dcterms:created>
  <dcterms:modified xsi:type="dcterms:W3CDTF">2026-08-07T10:33:07Z</dcterms:modified>
</cp:coreProperties>
</file>
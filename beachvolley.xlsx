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B918251-748E-48AC-BE30-7F0D7BD3BDAE}" xr6:coauthVersionLast="47" xr6:coauthVersionMax="47" xr10:uidLastSave="{00000000-0000-0000-0000-000000000000}"/>
  <bookViews>
    <workbookView xWindow="384" yWindow="384" windowWidth="21276" windowHeight="12948" activeTab="2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<sst xmlns="http://schemas.openxmlformats.org/spreadsheetml/2006/main" count="799" uniqueCount="222">
  <si>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</si>
  <si>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</si>
  <si>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</si>
  <si>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</si>
  <si>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</si>
  <si>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</si>
  <si>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</si>
  <si>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</si>
  <si>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</si>
  <si>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</si>
  <si>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</si>
  <si>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</si>
  <si>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</si>
  <si>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</si>
  <si>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</si>
  <si>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</si>
  <si>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</si>
  <si>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</si>
  <si>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</si>
  <si>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</si>
  <si>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</si>
  <si>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</si>
  <si>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</si>
  <si>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</si>
  <si>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</si>
  <si>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</si>
  <si>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</si>
  <si>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</si>
  <si>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</si>
  <si>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</si>
  <si>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</si>
  <si>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</si>
  <si>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</si>
  <si>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</si>
  <si>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</si>
  <si>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</si>
  <si>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</si>
  <si>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</si>
  <si>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</si>
  <si>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</si>
  <si>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</si>
  <si>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</si>
  <si>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</si>
  <si>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</si>
  <si>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</si>
  <si>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</si>
  <si>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</si>
  <si>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</si>
  <si>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</si>
  <si>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</si>
  <si>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</si>
  <si>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</si>
  <si>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</si>
  <si>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</si>
  <si>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</si>
  <si>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</si>
  <si>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</si>
  <si>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</si>
  <si>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</si>
  <si>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</si>
  <si>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</si>
  <si>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</si>
  <si>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</si>
  <si>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</si>
  <si>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</si>
  <si>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</si>
  <si>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</si>
  <si>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</si>
  <si>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</si>
  <si>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</si>
  <si>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</si>
  <si>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</si>
  <si>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</si>
  <si>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</si>
  <si>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</si>
  <si>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</si>
  <si>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</si>
  <si>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</si>
  <si>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</si>
  <si>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</si>
  <si>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</si>
  <si>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</si>
  <si>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</si>
  <si>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</si>
  <si>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</si>
  <si>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</si>
  <si>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</si>
  <si>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</si>
  <si>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</si>
  <si>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</si>
  <si>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</si>
  <si>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</si>
  <si>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</si>
  <si>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</si>
  <si>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</si>
  <si>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</si>
  <si>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</si>
  <si>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</si>
  <si>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</si>
  <si>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</si>
  <si>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</si>
  <si>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</si>
  <si>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</si>
  <si>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</si>
  <si>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</si>
  <si>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</si>
  <si>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</si>
  <si>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</si>
  <si>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</si>
  <si>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</si>
  <si>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</si>
  <si>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</si>
  <si>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</si>
  <si>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</si>
  <si>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</si>
  <si>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</si>
  <si>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</si>
  <si>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</si>
  <si>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</si>
  <si>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</si>
  <si>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</si>
  <si>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</si>
  <si>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</si>
  <si>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</si>
  <si>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</si>
  <si>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</si>
  <si>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</si>
  <si>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</si>
  <si>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</si>
  <si>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</si>
  <si>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</si>
  <si>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</si>
  <si>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</si>
  <si>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</si>
  <si>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</si>
  <si>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</si>
  <si>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</si>
  <si>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</si>
  <si>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</si>
  <si>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</si>
  <si>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</si>
  <si>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</si>
  <si>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</si>
  <si>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</si>
  <si>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</si>
  <si>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</si>
  <si>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</si>
  <si>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</si>
  <si>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</si>
  <si>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</si>
  <si>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</si>
  <si>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</si>
  <si>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</si>
  <si>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</si>
  <si>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</si>
  <si>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</si>
  <si>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</si>
  <si>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</si>
  <si>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</si>
  <si>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</si>
  <si>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</si>
  <si>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</si>
  <si>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</si>
  <si>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</si>
  <si>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</si>
  <si>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</si>
  <si>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</si>
  <si>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</si>
  <si>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</si>
  <si>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</si>
  <si>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</si>
  <si>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</si>
  <si>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</si>
  <si>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</si>
  <si>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</si>
  <si>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</si>
  <si>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</si>
  <si>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</si>
  <si>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</si>
  <si>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</si>
  <si>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</si>
  <si>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</si>
  <si>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</si>
  <si>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</si>
  <si>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</si>
  <si>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</si>
  <si>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</si>
  <si>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</si>
  <si>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</si>
  <si>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</si>
  <si>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</si>
  <si>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</si>
  <si>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</si>
  <si>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</si>
  <si>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</si>
  <si>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</si>
  <si>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</si>
  <si>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</si>
  <si>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</si>
  <si>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</si>
  <si>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</si>
  <si>
    <t>Pöyhönen/
Mansikkala</t>
  </si>
  <si>
    <t>Uusitalo/
Wentus</t>
  </si>
  <si>
    <t>21-11,21-19</t>
  </si>
  <si>
    <t>9-21,12-21</t>
  </si>
  <si>
    <t>Kreivilä/
Valtanen</t>
  </si>
  <si>
    <t>21-10,18-21,15-5</t>
  </si>
  <si>
    <t>Nurminen/
Peippo</t>
  </si>
  <si>
    <t>20-22,21-18,15-9</t>
  </si>
  <si>
    <t>12-21,12-21</t>
  </si>
  <si>
    <t>Mäntylä/
Katoperä</t>
  </si>
  <si>
    <t>Ruusumaa/
Niemi</t>
  </si>
  <si>
    <t>Paajanen/
Puolakka</t>
  </si>
  <si>
    <t>8-21,22-24</t>
  </si>
  <si>
    <t>17-21,21-16,9-15</t>
  </si>
  <si>
    <t>Karkkila</t>
  </si>
  <si>
    <t>Katoperä/
Laukkanen</t>
  </si>
  <si>
    <t>Punnonen/
Häkkinen</t>
  </si>
  <si>
    <t>Heikkilä/Niemi</t>
  </si>
  <si>
    <t>21-19,19-21,6-15</t>
  </si>
  <si>
    <t>13-21,14-21</t>
  </si>
  <si>
    <t>Mattila/
Rajala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</si>
</sst>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  <xf numFmtId="49" fontId="0" fillId="4" borderId="1" xfId="0" quotePrefix="1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25</v>
      </c>
      <c r="D7" s="10">
        <f>U18_2026!Q2</f>
        <v>6</v>
      </c>
      <c r="E7" s="10">
        <f>U18_2026!R2</f>
        <v>1</v>
      </c>
      <c r="F7" s="10">
        <f>U18_2026!T2</f>
        <v>18</v>
      </c>
      <c r="G7" s="10">
        <f>U18_2026!Q3</f>
        <v>17</v>
      </c>
      <c r="H7" s="10">
        <f>U18_2026!S3</f>
        <v>34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9</v>
      </c>
      <c r="D8" s="12">
        <f>JNCT_2026!Q3</f>
        <v>0</v>
      </c>
      <c r="E8" s="12">
        <v>0</v>
      </c>
      <c r="F8" s="12">
        <f>JNCT_2026!S2</f>
        <v>9</v>
      </c>
      <c r="G8" s="12">
        <f>JNCT_2026!Q3</f>
        <v>0</v>
      </c>
      <c r="H8" s="12">
        <f>JNCT_2026!R3</f>
        <v>27</v>
      </c>
      <c r="I8" s="12">
        <f>JNCT_2026!Q4</f>
        <v>260</v>
      </c>
      <c r="J8" s="12">
        <f>JNCT_2026!R4</f>
        <v>391</v>
      </c>
    </row>
    <row r="9" spans="1:11" s="6" customFormat="1" x14ac:dyDescent="0.3">
      <c r="A9" s="33" t="s">
        <v>57</v>
      </c>
      <c r="B9" s="33"/>
      <c r="C9" s="33">
        <f>SUM(C2:C8)</f>
        <v>100</v>
      </c>
      <c r="D9" s="33">
        <f t="shared" ref="D9:J9" si="1">SUM(D2:D8)</f>
        <v>29</v>
      </c>
      <c r="E9" s="33">
        <f t="shared" si="1"/>
        <v>3</v>
      </c>
      <c r="F9" s="33">
        <f t="shared" si="1"/>
        <v>68</v>
      </c>
      <c r="G9" s="33">
        <f t="shared" si="1"/>
        <v>86</v>
      </c>
      <c r="H9" s="33">
        <f t="shared" si="1"/>
        <v>164</v>
      </c>
      <c r="I9" s="33">
        <f t="shared" si="1"/>
        <v>2527</v>
      </c>
      <c r="J9" s="33">
        <f t="shared" si="1"/>
        <v>2890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workbookViewId="0">
      <selection activeCell="B14" sqref="B14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9</v>
      </c>
      <c r="S2" s="12">
        <f>SUM(Q2:R2)</f>
        <v>9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27</v>
      </c>
      <c r="S3" s="30">
        <f>SUM(Q3:R3)</f>
        <v>27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260</v>
      </c>
      <c r="R4" s="12">
        <f>SUM(N2:N12)</f>
        <v>391</v>
      </c>
      <c r="S4" s="12">
        <f>SUM(Q4:R4)</f>
        <v>651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>
        <v>17</v>
      </c>
      <c r="P7" s="29"/>
      <c r="Q7" s="30"/>
      <c r="R7" s="30"/>
      <c r="S7" s="30"/>
    </row>
    <row r="8" spans="1:19" ht="28.8" x14ac:dyDescent="0.3">
      <c r="A8" s="12" t="s">
        <v>117</v>
      </c>
      <c r="B8" s="16">
        <v>46234</v>
      </c>
      <c r="C8" s="12" t="s">
        <v>32</v>
      </c>
      <c r="D8" s="12" t="s">
        <v>118</v>
      </c>
      <c r="E8" s="12" t="s">
        <v>210</v>
      </c>
      <c r="F8" s="12" t="s">
        <v>211</v>
      </c>
      <c r="G8" s="21" t="s">
        <v>15</v>
      </c>
      <c r="H8" s="19" t="s">
        <v>213</v>
      </c>
      <c r="I8" s="19"/>
      <c r="J8" s="19"/>
      <c r="K8" s="19"/>
      <c r="L8" s="19">
        <v>1</v>
      </c>
      <c r="M8" s="19">
        <v>30</v>
      </c>
      <c r="N8" s="19">
        <v>45</v>
      </c>
      <c r="O8" s="19"/>
      <c r="P8" s="18"/>
      <c r="Q8" s="12"/>
      <c r="R8" s="12"/>
      <c r="S8" s="12"/>
    </row>
    <row r="9" spans="1:19" ht="28.8" x14ac:dyDescent="0.3">
      <c r="A9" s="30" t="s">
        <v>117</v>
      </c>
      <c r="B9" s="32">
        <v>46234</v>
      </c>
      <c r="C9" s="30" t="s">
        <v>32</v>
      </c>
      <c r="D9" s="30" t="s">
        <v>118</v>
      </c>
      <c r="E9" s="30" t="s">
        <v>210</v>
      </c>
      <c r="F9" s="10" t="s">
        <v>212</v>
      </c>
      <c r="G9" s="14" t="s">
        <v>15</v>
      </c>
      <c r="H9" s="10" t="s">
        <v>52</v>
      </c>
      <c r="I9" s="10"/>
      <c r="J9" s="10"/>
      <c r="K9" s="10"/>
      <c r="L9" s="10">
        <v>1</v>
      </c>
      <c r="M9" s="10">
        <v>31</v>
      </c>
      <c r="N9" s="10">
        <v>42</v>
      </c>
      <c r="O9" s="10"/>
      <c r="P9" s="29"/>
      <c r="Q9" s="30"/>
      <c r="R9" s="30"/>
      <c r="S9" s="30"/>
    </row>
    <row r="10" spans="1:19" ht="28.8" x14ac:dyDescent="0.3">
      <c r="A10" s="12" t="s">
        <v>117</v>
      </c>
      <c r="B10" s="16">
        <v>46234</v>
      </c>
      <c r="C10" s="12" t="s">
        <v>32</v>
      </c>
      <c r="D10" s="12" t="s">
        <v>118</v>
      </c>
      <c r="E10" s="12" t="s">
        <v>210</v>
      </c>
      <c r="F10" s="12" t="s">
        <v>189</v>
      </c>
      <c r="G10" s="21" t="s">
        <v>29</v>
      </c>
      <c r="H10" s="19" t="s">
        <v>214</v>
      </c>
      <c r="I10" s="19"/>
      <c r="J10" s="19"/>
      <c r="K10" s="19"/>
      <c r="L10" s="19">
        <v>1</v>
      </c>
      <c r="M10" s="19">
        <v>47</v>
      </c>
      <c r="N10" s="19">
        <v>52</v>
      </c>
      <c r="O10" s="19"/>
      <c r="P10" s="18"/>
      <c r="Q10" s="12"/>
      <c r="R10" s="12"/>
      <c r="S10" s="12"/>
    </row>
    <row r="11" spans="1:19" ht="28.8" x14ac:dyDescent="0.3">
      <c r="A11" s="30" t="s">
        <v>117</v>
      </c>
      <c r="B11" s="32">
        <v>46243</v>
      </c>
      <c r="C11" s="30" t="s">
        <v>22</v>
      </c>
      <c r="D11" s="30" t="s">
        <v>215</v>
      </c>
      <c r="E11" s="30" t="s">
        <v>210</v>
      </c>
      <c r="F11" s="10"/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ht="28.8" x14ac:dyDescent="0.3">
      <c r="A12" s="12" t="s">
        <v>117</v>
      </c>
      <c r="B12" s="16">
        <v>46243</v>
      </c>
      <c r="C12" s="12" t="s">
        <v>22</v>
      </c>
      <c r="D12" s="12" t="s">
        <v>215</v>
      </c>
      <c r="E12" s="12" t="s">
        <v>210</v>
      </c>
      <c r="F12" s="12"/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ht="28.8" x14ac:dyDescent="0.3">
      <c r="A13" s="30" t="s">
        <v>117</v>
      </c>
      <c r="B13" s="32">
        <v>46243</v>
      </c>
      <c r="C13" s="30" t="s">
        <v>22</v>
      </c>
      <c r="D13" s="30" t="s">
        <v>215</v>
      </c>
      <c r="E13" s="30" t="s">
        <v>210</v>
      </c>
      <c r="F13" s="10"/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x14ac:dyDescent="0.3">
      <c r="A14" s="12" t="s">
        <v>117</v>
      </c>
      <c r="B14" s="16"/>
      <c r="C14" s="12"/>
      <c r="D14" s="12"/>
      <c r="E14" s="12"/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9</v>
      </c>
      <c r="M23">
        <f t="shared" si="0"/>
        <v>260</v>
      </c>
      <c r="N23">
        <f t="shared" si="0"/>
        <v>391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abSelected="1" topLeftCell="A9" zoomScaleNormal="100" workbookViewId="0">
      <selection activeCell="N20" sqref="N20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6</v>
      </c>
      <c r="R2" s="12">
        <f>SUM(K2:K20)</f>
        <v>1</v>
      </c>
      <c r="S2" s="12">
        <f>SUM(L2:L20)</f>
        <v>11</v>
      </c>
      <c r="T2" s="12">
        <f t="shared" ref="T2:T9" si="0">SUM(Q2:S2)</f>
        <v>18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17</v>
      </c>
      <c r="R3" s="30"/>
      <c r="S3" s="30">
        <f>SUM(K2:K20)*1+SUM(L2:L20)*3</f>
        <v>34</v>
      </c>
      <c r="T3" s="30">
        <f t="shared" si="0"/>
        <v>51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14</v>
      </c>
      <c r="R6" s="12"/>
      <c r="S6" s="12">
        <f>SUM(K5:K7)*1+SUM(L5:L7)*3</f>
        <v>4</v>
      </c>
      <c r="T6" s="12">
        <f t="shared" si="0"/>
        <v>18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13</v>
      </c>
      <c r="R8" s="12"/>
      <c r="S8" s="12">
        <f>SUM(K7:K9)*1+SUM(L7:L9)*3</f>
        <v>3</v>
      </c>
      <c r="T8" s="12">
        <f t="shared" si="0"/>
        <v>16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ht="28.8" x14ac:dyDescent="0.3">
      <c r="A12" s="16" t="s">
        <v>99</v>
      </c>
      <c r="B12" s="16">
        <v>46207</v>
      </c>
      <c r="C12" s="12" t="s">
        <v>46</v>
      </c>
      <c r="D12" s="12" t="s">
        <v>195</v>
      </c>
      <c r="E12" s="12" t="s">
        <v>178</v>
      </c>
      <c r="F12" s="12" t="s">
        <v>201</v>
      </c>
      <c r="G12" s="17" t="s">
        <v>17</v>
      </c>
      <c r="H12" s="12" t="s">
        <v>203</v>
      </c>
      <c r="I12" s="12">
        <v>1</v>
      </c>
      <c r="J12" s="12"/>
      <c r="K12" s="12"/>
      <c r="L12" s="12"/>
      <c r="M12" s="12">
        <v>42</v>
      </c>
      <c r="N12" s="12">
        <v>30</v>
      </c>
      <c r="O12" s="12"/>
      <c r="P12" s="18"/>
      <c r="Q12" s="12"/>
      <c r="R12" s="12"/>
      <c r="S12" s="12"/>
      <c r="T12" s="12"/>
    </row>
    <row r="13" spans="1:20" ht="28.8" x14ac:dyDescent="0.3">
      <c r="A13" s="32" t="s">
        <v>99</v>
      </c>
      <c r="B13" s="32">
        <v>46207</v>
      </c>
      <c r="C13" s="30" t="s">
        <v>46</v>
      </c>
      <c r="D13" s="30" t="s">
        <v>195</v>
      </c>
      <c r="E13" s="30" t="s">
        <v>178</v>
      </c>
      <c r="F13" s="30" t="s">
        <v>202</v>
      </c>
      <c r="G13" s="38" t="s">
        <v>15</v>
      </c>
      <c r="H13" s="35" t="s">
        <v>204</v>
      </c>
      <c r="I13" s="35"/>
      <c r="J13" s="35"/>
      <c r="K13" s="35"/>
      <c r="L13" s="35">
        <v>1</v>
      </c>
      <c r="M13" s="35">
        <v>21</v>
      </c>
      <c r="N13" s="35">
        <v>42</v>
      </c>
      <c r="O13" s="35"/>
      <c r="P13" s="29"/>
      <c r="Q13" s="30"/>
      <c r="R13" s="30"/>
      <c r="S13" s="30"/>
      <c r="T13" s="30"/>
    </row>
    <row r="14" spans="1:20" ht="28.8" x14ac:dyDescent="0.3">
      <c r="A14" s="16" t="s">
        <v>99</v>
      </c>
      <c r="B14" s="16">
        <v>46207</v>
      </c>
      <c r="C14" s="12" t="s">
        <v>46</v>
      </c>
      <c r="D14" s="12" t="s">
        <v>195</v>
      </c>
      <c r="E14" s="12" t="s">
        <v>178</v>
      </c>
      <c r="F14" s="12" t="s">
        <v>205</v>
      </c>
      <c r="G14" s="17" t="s">
        <v>13</v>
      </c>
      <c r="H14" s="12" t="s">
        <v>206</v>
      </c>
      <c r="I14" s="12">
        <v>1</v>
      </c>
      <c r="J14" s="12"/>
      <c r="K14" s="12"/>
      <c r="L14" s="12"/>
      <c r="M14" s="12">
        <v>54</v>
      </c>
      <c r="N14" s="12">
        <v>36</v>
      </c>
      <c r="O14" s="12"/>
      <c r="P14" s="18"/>
      <c r="Q14" s="12"/>
      <c r="R14" s="12"/>
      <c r="S14" s="12"/>
      <c r="T14" s="12"/>
    </row>
    <row r="15" spans="1:20" ht="28.8" x14ac:dyDescent="0.3">
      <c r="A15" s="32" t="s">
        <v>99</v>
      </c>
      <c r="B15" s="32">
        <v>46207</v>
      </c>
      <c r="C15" s="30" t="s">
        <v>46</v>
      </c>
      <c r="D15" s="30" t="s">
        <v>195</v>
      </c>
      <c r="E15" s="30" t="s">
        <v>178</v>
      </c>
      <c r="F15" s="30" t="s">
        <v>207</v>
      </c>
      <c r="G15" s="36" t="s">
        <v>13</v>
      </c>
      <c r="H15" s="35" t="s">
        <v>208</v>
      </c>
      <c r="I15" s="35">
        <v>1</v>
      </c>
      <c r="J15" s="35"/>
      <c r="K15" s="35"/>
      <c r="L15" s="35"/>
      <c r="M15" s="35">
        <v>56</v>
      </c>
      <c r="N15" s="35">
        <v>49</v>
      </c>
      <c r="O15" s="35"/>
      <c r="P15" s="29"/>
      <c r="Q15" s="30"/>
      <c r="R15" s="30"/>
      <c r="S15" s="30"/>
      <c r="T15" s="30"/>
    </row>
    <row r="16" spans="1:20" ht="28.8" x14ac:dyDescent="0.3">
      <c r="A16" s="16" t="s">
        <v>99</v>
      </c>
      <c r="B16" s="16">
        <v>46207</v>
      </c>
      <c r="C16" s="12" t="s">
        <v>46</v>
      </c>
      <c r="D16" s="12" t="s">
        <v>195</v>
      </c>
      <c r="E16" s="12" t="s">
        <v>178</v>
      </c>
      <c r="F16" s="12" t="s">
        <v>202</v>
      </c>
      <c r="G16" s="17" t="s">
        <v>15</v>
      </c>
      <c r="H16" s="12" t="s">
        <v>209</v>
      </c>
      <c r="I16" s="12"/>
      <c r="J16" s="12"/>
      <c r="K16" s="12"/>
      <c r="L16" s="12">
        <v>1</v>
      </c>
      <c r="M16" s="12">
        <v>24</v>
      </c>
      <c r="N16" s="12">
        <v>42</v>
      </c>
      <c r="O16" s="12">
        <v>2</v>
      </c>
      <c r="P16" s="18"/>
      <c r="Q16" s="12"/>
      <c r="R16" s="12"/>
      <c r="S16" s="12"/>
      <c r="T16" s="12"/>
    </row>
    <row r="17" spans="1:20" ht="28.8" x14ac:dyDescent="0.3">
      <c r="A17" s="32" t="s">
        <v>99</v>
      </c>
      <c r="B17" s="32">
        <v>46241</v>
      </c>
      <c r="C17" s="30" t="s">
        <v>32</v>
      </c>
      <c r="D17" s="30" t="s">
        <v>195</v>
      </c>
      <c r="E17" s="30" t="s">
        <v>216</v>
      </c>
      <c r="F17" s="30" t="s">
        <v>217</v>
      </c>
      <c r="G17" s="36" t="s">
        <v>29</v>
      </c>
      <c r="H17" s="35" t="s">
        <v>219</v>
      </c>
      <c r="I17" s="35"/>
      <c r="J17" s="35"/>
      <c r="K17" s="35"/>
      <c r="L17" s="35">
        <v>1</v>
      </c>
      <c r="M17" s="35">
        <v>46</v>
      </c>
      <c r="N17" s="35">
        <v>55</v>
      </c>
      <c r="O17" s="35"/>
      <c r="P17" s="29"/>
      <c r="Q17" s="30"/>
      <c r="R17" s="30"/>
      <c r="S17" s="30"/>
      <c r="T17" s="30"/>
    </row>
    <row r="18" spans="1:20" ht="28.8" x14ac:dyDescent="0.3">
      <c r="A18" s="16" t="s">
        <v>99</v>
      </c>
      <c r="B18" s="16">
        <v>46241</v>
      </c>
      <c r="C18" s="12" t="s">
        <v>46</v>
      </c>
      <c r="D18" s="12" t="s">
        <v>195</v>
      </c>
      <c r="E18" s="12" t="s">
        <v>216</v>
      </c>
      <c r="F18" s="12" t="s">
        <v>218</v>
      </c>
      <c r="G18" s="17" t="s">
        <v>15</v>
      </c>
      <c r="H18" s="12" t="s">
        <v>220</v>
      </c>
      <c r="I18" s="12"/>
      <c r="J18" s="12"/>
      <c r="K18" s="12"/>
      <c r="L18" s="12">
        <v>1</v>
      </c>
      <c r="M18" s="12">
        <v>27</v>
      </c>
      <c r="N18" s="12">
        <v>42</v>
      </c>
      <c r="O18" s="12"/>
      <c r="P18" s="18"/>
      <c r="Q18" s="12"/>
      <c r="R18" s="12"/>
      <c r="S18" s="12"/>
      <c r="T18" s="12"/>
    </row>
    <row r="19" spans="1:20" ht="28.8" x14ac:dyDescent="0.3">
      <c r="A19" s="32" t="s">
        <v>99</v>
      </c>
      <c r="B19" s="32">
        <v>46241</v>
      </c>
      <c r="C19" s="30" t="s">
        <v>46</v>
      </c>
      <c r="D19" s="30" t="s">
        <v>195</v>
      </c>
      <c r="E19" s="30" t="s">
        <v>216</v>
      </c>
      <c r="F19" s="30" t="s">
        <v>221</v>
      </c>
      <c r="G19" s="36" t="s">
        <v>15</v>
      </c>
      <c r="H19" s="35" t="s">
        <v>105</v>
      </c>
      <c r="I19" s="35"/>
      <c r="J19" s="35"/>
      <c r="K19" s="35"/>
      <c r="L19" s="35">
        <v>1</v>
      </c>
      <c r="M19" s="35">
        <v>21</v>
      </c>
      <c r="N19" s="35">
        <v>42</v>
      </c>
      <c r="O19" s="35"/>
      <c r="P19" s="29"/>
      <c r="Q19" s="30"/>
      <c r="R19" s="30"/>
      <c r="S19" s="30"/>
      <c r="T19" s="30"/>
    </row>
    <row r="20" spans="1:20" ht="28.8" x14ac:dyDescent="0.3">
      <c r="A20" s="16" t="s">
        <v>99</v>
      </c>
      <c r="B20" s="16">
        <v>46241</v>
      </c>
      <c r="C20" s="12" t="s">
        <v>46</v>
      </c>
      <c r="D20" s="12" t="s">
        <v>195</v>
      </c>
      <c r="E20" s="12" t="s">
        <v>216</v>
      </c>
      <c r="F20" s="12"/>
      <c r="G20" s="17"/>
      <c r="H20" s="12"/>
      <c r="I20" s="12"/>
      <c r="J20" s="12"/>
      <c r="K20" s="12"/>
      <c r="L20" s="12"/>
      <c r="M20" s="12"/>
      <c r="N20" s="12"/>
      <c r="O20" s="12"/>
      <c r="P20" s="18"/>
      <c r="Q20" s="12"/>
      <c r="R20" s="12"/>
      <c r="S20" s="12"/>
      <c r="T20" s="12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2026-08-07T10:20:22Z</dcterms:modified>
</cp:coreProperties>
</file>
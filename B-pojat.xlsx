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5577F066-6F3D-410E-8172-E69F1D8FA34D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9" l="1"/>
  <c r="J4" i="10" s="1"/>
  <c r="E4" i="10"/>
  <c r="Q3" i="19"/>
  <c r="H4" i="10" s="1"/>
  <c r="Q2" i="19"/>
  <c r="F4" i="10" s="1"/>
  <c r="P2" i="19"/>
  <c r="O3" i="19"/>
  <c r="G4" i="10" s="1"/>
  <c r="O4" i="19"/>
  <c r="I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<sst xmlns="http://schemas.openxmlformats.org/spreadsheetml/2006/main" count="412" uniqueCount="142">
  <si>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</si>
  <si>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</si>
  <si>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</si>
  <si>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</si>
  <si>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</si>
  <si>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</si>
  <si>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</si>
  <si>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</si>
  <si>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</si>
  <si>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</si>
  <si>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</si>
  <si>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</si>
  <si>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</si>
  <si>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</si>
  <si>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</si>
  <si>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</si>
  <si>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</si>
  <si>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</si>
  <si>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</si>
  <si>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</si>
  <si>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</si>
  <si>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</si>
  <si>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</si>
  <si>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</si>
  <si>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</si>
  <si>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</si>
  <si>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</si>
  <si>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</si>
  <si>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</si>
  <si>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</si>
  <si>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</si>
  <si>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</si>
  <si>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</si>
  <si>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</si>
  <si>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</si>
  <si>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</si>
  <si>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</si>
  <si>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</si>
  <si>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</si>
  <si>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</si>
  <si>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</si>
  <si>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</si>
  <si>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</si>
  <si>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</si>
  <si>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</si>
  <si>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</si>
  <si>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</si>
  <si>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</si>
  <si>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</si>
  <si>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</si>
  <si>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</si>
  <si>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</si>
  <si>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</si>
  <si>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</si>
  <si>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</si>
  <si>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</si>
  <si>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</si>
  <si>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</si>
  <si>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</si>
  <si>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</si>
  <si>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</si>
  <si>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</si>
  <si>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</si>
  <si>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</si>
  <si>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</si>
  <si>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</si>
  <si>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</si>
  <si>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</si>
  <si>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</si>
  <si>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</si>
  <si>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</si>
  <si>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</si>
  <si>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</si>
  <si>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</si>
  <si>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</si>
  <si>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</si>
  <si>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</si>
  <si>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</si>
  <si>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</si>
  <si>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</si>
  <si>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</si>
  <si>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</si>
  <si>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</si>
  <si>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</si>
  <si>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</si>
  <si>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</si>
  <si>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</si>
  <si>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</si>
  <si>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</si>
  <si>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</si>
  <si>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</si>
  <si>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</si>
  <si>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</si>
  <si>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</si>
  <si>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</si>
  <si>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</si>
  <si>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</si>
  <si>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</si>
  <si>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</si>
  <si>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</si>
  <si>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</si>
  <si>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</si>
  <si>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</si>
  <si>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</si>
  <si>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</si>
  <si>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</si>
  <si>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</si>
  <si>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</si>
  <si>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</si>
  <si>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</si>
  <si>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</si>
  <si>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</si>
  <si>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</si>
  <si>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</si>
  <si>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</si>
  <si>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</si>
  <si>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</si>
  <si>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</si>
  <si>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</si>
  <si>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</si>
  <si>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</si>
  <si>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</si>
  <si>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</si>
  <si>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</si>
  <si>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</si>
  <si>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</si>
  <si>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</si>
  <si>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</si>
  <si>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</si>
  <si>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</si>
  <si>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</si>
  <si>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</si>
  <si>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</si>
  <si>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</si>
  <si>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</si>
  <si>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</si>
  <si>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</si>
  <si>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</si>
  <si>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OsVa1</t>
  </si>
  <si>
    <t>16-25,20-25</t>
  </si>
  <si>
    <t>12-25,7-25</t>
  </si>
  <si>
    <t>Lempo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</si>
</sst>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20</v>
      </c>
      <c r="D4" s="11">
        <f>'B 2025-2026'!O2</f>
        <v>8</v>
      </c>
      <c r="E4" s="11">
        <f>'B 2025-2026'!P2</f>
        <v>4</v>
      </c>
      <c r="F4" s="11">
        <f>'B 2025-2026'!Q2</f>
        <v>8</v>
      </c>
      <c r="G4" s="11">
        <f>'B 2025-2026'!O3</f>
        <v>21</v>
      </c>
      <c r="H4" s="11">
        <f>'B 2025-2026'!Q3</f>
        <v>21</v>
      </c>
      <c r="I4" s="11">
        <f>'B 2025-2026'!O4</f>
        <v>988</v>
      </c>
      <c r="J4" s="11">
        <f>'B 2025-2026'!Q4</f>
        <v>987</v>
      </c>
      <c r="K4" s="11"/>
    </row>
    <row r="5" spans="1:11" x14ac:dyDescent="0.3">
      <c r="A5" s="8"/>
      <c r="B5" s="7" t="s">
        <v>6</v>
      </c>
      <c r="C5" s="7">
        <f t="shared" ref="C5:J5" si="0">SUM(C2:C4)</f>
        <v>69</v>
      </c>
      <c r="D5" s="7">
        <f t="shared" si="0"/>
        <v>31</v>
      </c>
      <c r="E5" s="7">
        <f t="shared" si="0"/>
        <v>7</v>
      </c>
      <c r="F5" s="7">
        <f t="shared" si="0"/>
        <v>31</v>
      </c>
      <c r="G5" s="9">
        <f t="shared" si="0"/>
        <v>70</v>
      </c>
      <c r="H5" s="9">
        <f t="shared" si="0"/>
        <v>70</v>
      </c>
      <c r="I5" s="9">
        <f t="shared" si="0"/>
        <v>3302</v>
      </c>
      <c r="J5" s="9">
        <f t="shared" si="0"/>
        <v>3345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topLeftCell="A12" workbookViewId="0">
      <selection activeCell="D25" sqref="D25"/>
    </sheetView>
  </sheetViews>
  <sheetFormatPr defaultRowHeight="14.4" x14ac:dyDescent="0.3"/>
  <cols>
    <col min="1" max="3" width="10.77734375" customWidth="1"/>
    <col min="4" max="4" width="11.44140625" customWidth="1"/>
    <col min="5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8</v>
      </c>
      <c r="P2" s="16">
        <f>SUM(I10:I13)</f>
        <v>4</v>
      </c>
      <c r="Q2" s="16">
        <f>SUM(J2:J24)+I9</f>
        <v>8</v>
      </c>
      <c r="R2" s="16">
        <f>SUM(O2:Q2)</f>
        <v>20</v>
      </c>
      <c r="S2" s="16">
        <f>R2*2</f>
        <v>40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21</v>
      </c>
      <c r="P3" s="13"/>
      <c r="Q3" s="13">
        <f>SUM(J2:J24)*2+SUM(I10:I13)+H8+I9*2</f>
        <v>21</v>
      </c>
      <c r="R3" s="13">
        <f>SUM(O3:Q3)</f>
        <v>42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988</v>
      </c>
      <c r="P4" s="16"/>
      <c r="Q4" s="16">
        <f>SUM(L2:L24)</f>
        <v>987</v>
      </c>
      <c r="R4" s="16">
        <f>SUM(O4:Q4)</f>
        <v>1975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110</v>
      </c>
      <c r="D14" s="16" t="s">
        <v>107</v>
      </c>
      <c r="E14" s="17" t="s">
        <v>10</v>
      </c>
      <c r="F14" s="16" t="s">
        <v>132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45674</v>
      </c>
      <c r="B15" s="23" t="s">
        <v>7</v>
      </c>
      <c r="C15" s="23" t="s">
        <v>110</v>
      </c>
      <c r="D15" s="13" t="s">
        <v>123</v>
      </c>
      <c r="E15" s="14" t="s">
        <v>10</v>
      </c>
      <c r="F15" s="13" t="s">
        <v>133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ht="28.8" x14ac:dyDescent="0.3">
      <c r="A16" s="15">
        <v>46060</v>
      </c>
      <c r="B16" s="16" t="s">
        <v>7</v>
      </c>
      <c r="C16" s="16" t="s">
        <v>110</v>
      </c>
      <c r="D16" s="16" t="s">
        <v>117</v>
      </c>
      <c r="E16" s="17" t="s">
        <v>10</v>
      </c>
      <c r="F16" s="16" t="s">
        <v>136</v>
      </c>
      <c r="G16" s="16"/>
      <c r="H16" s="16">
        <v>1</v>
      </c>
      <c r="I16" s="16"/>
      <c r="J16" s="16"/>
      <c r="K16" s="16">
        <v>61</v>
      </c>
      <c r="L16" s="16">
        <v>62</v>
      </c>
      <c r="M16" s="16"/>
      <c r="N16" s="16"/>
      <c r="O16" s="16"/>
      <c r="P16" s="16"/>
      <c r="Q16" s="16"/>
      <c r="R16" s="16"/>
      <c r="S16" s="16"/>
    </row>
    <row r="17" spans="1:19" ht="28.8" x14ac:dyDescent="0.3">
      <c r="A17" s="22">
        <v>46060</v>
      </c>
      <c r="B17" s="23" t="s">
        <v>7</v>
      </c>
      <c r="C17" s="23" t="s">
        <v>110</v>
      </c>
      <c r="D17" s="13" t="s">
        <v>84</v>
      </c>
      <c r="E17" s="14" t="s">
        <v>13</v>
      </c>
      <c r="F17" s="13" t="s">
        <v>135</v>
      </c>
      <c r="G17" s="13"/>
      <c r="H17" s="13"/>
      <c r="I17" s="13"/>
      <c r="J17" s="13">
        <v>1</v>
      </c>
      <c r="K17" s="13">
        <v>60</v>
      </c>
      <c r="L17" s="13">
        <v>63</v>
      </c>
      <c r="M17" s="13"/>
      <c r="N17" s="13"/>
      <c r="O17" s="13"/>
      <c r="P17" s="13"/>
      <c r="Q17" s="13"/>
      <c r="R17" s="13"/>
      <c r="S17" s="13"/>
    </row>
    <row r="18" spans="1:19" ht="28.8" x14ac:dyDescent="0.3">
      <c r="A18" s="15">
        <v>46060</v>
      </c>
      <c r="B18" s="16" t="s">
        <v>7</v>
      </c>
      <c r="C18" s="16" t="s">
        <v>110</v>
      </c>
      <c r="D18" s="16" t="s">
        <v>107</v>
      </c>
      <c r="E18" s="17" t="s">
        <v>16</v>
      </c>
      <c r="F18" s="16" t="s">
        <v>134</v>
      </c>
      <c r="G18" s="16"/>
      <c r="H18" s="16">
        <v>1</v>
      </c>
      <c r="I18" s="16"/>
      <c r="J18" s="16"/>
      <c r="K18" s="16">
        <v>50</v>
      </c>
      <c r="L18" s="16">
        <v>36</v>
      </c>
      <c r="M18" s="16"/>
      <c r="N18" s="16"/>
      <c r="O18" s="16"/>
      <c r="P18" s="16"/>
      <c r="Q18" s="16"/>
      <c r="R18" s="16"/>
      <c r="S18" s="16"/>
    </row>
    <row r="19" spans="1:19" x14ac:dyDescent="0.3">
      <c r="A19" s="12">
        <v>46109</v>
      </c>
      <c r="B19" s="13" t="s">
        <v>7</v>
      </c>
      <c r="C19" s="13" t="s">
        <v>110</v>
      </c>
      <c r="D19" s="13" t="s">
        <v>118</v>
      </c>
      <c r="E19" s="14" t="s">
        <v>8</v>
      </c>
      <c r="F19" s="13" t="s">
        <v>139</v>
      </c>
      <c r="G19" s="13"/>
      <c r="H19" s="13"/>
      <c r="I19" s="13"/>
      <c r="J19" s="13">
        <v>1</v>
      </c>
      <c r="K19" s="13">
        <v>36</v>
      </c>
      <c r="L19" s="13">
        <v>50</v>
      </c>
      <c r="M19" s="13"/>
      <c r="N19" s="13"/>
      <c r="O19" s="13"/>
      <c r="P19" s="13"/>
      <c r="Q19" s="13"/>
      <c r="R19" s="13"/>
      <c r="S19" s="13"/>
    </row>
    <row r="20" spans="1:19" x14ac:dyDescent="0.3">
      <c r="A20" s="15">
        <v>45744</v>
      </c>
      <c r="B20" s="16" t="s">
        <v>7</v>
      </c>
      <c r="C20" s="16" t="s">
        <v>110</v>
      </c>
      <c r="D20" s="16" t="s">
        <v>137</v>
      </c>
      <c r="E20" s="17" t="s">
        <v>8</v>
      </c>
      <c r="F20" s="16" t="s">
        <v>140</v>
      </c>
      <c r="G20" s="16"/>
      <c r="H20" s="16"/>
      <c r="I20" s="16"/>
      <c r="J20" s="16">
        <v>1</v>
      </c>
      <c r="K20" s="16">
        <v>19</v>
      </c>
      <c r="L20" s="16">
        <v>50</v>
      </c>
      <c r="M20" s="16"/>
      <c r="N20" s="16"/>
      <c r="O20" s="16"/>
      <c r="P20" s="16"/>
      <c r="Q20" s="16"/>
      <c r="R20" s="16"/>
      <c r="S20" s="16"/>
    </row>
    <row r="21" spans="1:19" x14ac:dyDescent="0.3">
      <c r="A21" s="12">
        <v>46109</v>
      </c>
      <c r="B21" s="13" t="s">
        <v>7</v>
      </c>
      <c r="C21" s="13" t="s">
        <v>110</v>
      </c>
      <c r="D21" s="13" t="s">
        <v>138</v>
      </c>
      <c r="E21" s="14" t="s">
        <v>8</v>
      </c>
      <c r="F21" s="13" t="s">
        <v>104</v>
      </c>
      <c r="G21" s="13"/>
      <c r="H21" s="13"/>
      <c r="I21" s="13"/>
      <c r="J21" s="13">
        <v>1</v>
      </c>
      <c r="K21" s="13">
        <v>33</v>
      </c>
      <c r="L21" s="13">
        <v>50</v>
      </c>
      <c r="M21" s="13"/>
      <c r="N21" s="13"/>
      <c r="O21" s="13"/>
      <c r="P21" s="13"/>
      <c r="Q21" s="13"/>
      <c r="R21" s="13"/>
      <c r="S21" s="13"/>
    </row>
    <row r="22" spans="1:19" x14ac:dyDescent="0.3">
      <c r="A22" s="15">
        <v>46137</v>
      </c>
      <c r="B22" s="16" t="s">
        <v>7</v>
      </c>
      <c r="C22" s="16" t="s">
        <v>110</v>
      </c>
      <c r="D22" s="16" t="s">
        <v>141</v>
      </c>
      <c r="E22" s="17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ht="28.8" x14ac:dyDescent="0.3">
      <c r="A23" s="12">
        <v>46137</v>
      </c>
      <c r="B23" s="13" t="s">
        <v>7</v>
      </c>
      <c r="C23" s="13" t="s">
        <v>110</v>
      </c>
      <c r="D23" s="13" t="s">
        <v>127</v>
      </c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>
        <v>46137</v>
      </c>
      <c r="B24" s="16" t="s">
        <v>7</v>
      </c>
      <c r="C24" s="16" t="s">
        <v>110</v>
      </c>
      <c r="D24" s="16" t="s">
        <v>117</v>
      </c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2026-03-31T08:37:22Z</dcterms:modified>
</cp:coreProperties>
</file>
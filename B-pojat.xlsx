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EFE5B76E-838C-4A32-881C-067A1D4CA760}" xr6:coauthVersionLast="47" xr6:coauthVersionMax="47" xr10:uidLastSave="{00000000-0000-0000-0000-000000000000}"/>
  <bookViews>
    <workbookView xWindow="384" yWindow="384" windowWidth="21876" windowHeight="12012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0" l="1"/>
  <c r="Q4" i="19"/>
  <c r="E4" i="10"/>
  <c r="Q3" i="19"/>
  <c r="Q2" i="19"/>
  <c r="P2" i="19"/>
  <c r="O3" i="19"/>
  <c r="G4" i="10" s="1"/>
  <c r="J4" i="10"/>
  <c r="O4" i="19"/>
  <c r="I4" i="10" s="1"/>
  <c r="F4" i="10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<sst xmlns="http://schemas.openxmlformats.org/spreadsheetml/2006/main" count="363" uniqueCount="132">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</sst>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12</v>
      </c>
      <c r="D4" s="11">
        <f>'B 2025-2026'!O2</f>
        <v>4</v>
      </c>
      <c r="E4" s="11">
        <f>'B 2025-2026'!P2</f>
        <v>4</v>
      </c>
      <c r="F4" s="11">
        <f>'B 2025-2026'!Q2</f>
        <v>4</v>
      </c>
      <c r="G4" s="11">
        <f>'B 2025-2026'!O3</f>
        <v>13</v>
      </c>
      <c r="H4" s="11">
        <f>'B 2025-2026'!Q3</f>
        <v>13</v>
      </c>
      <c r="I4" s="11">
        <f>'B 2025-2026'!O4</f>
        <v>592</v>
      </c>
      <c r="J4" s="11">
        <f>'B 2025-2026'!Q4</f>
        <v>554</v>
      </c>
      <c r="K4" s="11"/>
    </row>
    <row r="5" spans="1:11" x14ac:dyDescent="0.3">
      <c r="A5" s="8"/>
      <c r="B5" s="7" t="s">
        <v>6</v>
      </c>
      <c r="C5" s="7">
        <f t="shared" ref="C5:J5" si="0">SUM(C2:C4)</f>
        <v>61</v>
      </c>
      <c r="D5" s="7">
        <f t="shared" si="0"/>
        <v>27</v>
      </c>
      <c r="E5" s="7">
        <f t="shared" si="0"/>
        <v>7</v>
      </c>
      <c r="F5" s="7">
        <f t="shared" si="0"/>
        <v>27</v>
      </c>
      <c r="G5" s="9">
        <f t="shared" si="0"/>
        <v>62</v>
      </c>
      <c r="H5" s="9">
        <f t="shared" si="0"/>
        <v>62</v>
      </c>
      <c r="I5" s="9">
        <f t="shared" si="0"/>
        <v>2906</v>
      </c>
      <c r="J5" s="9">
        <f t="shared" si="0"/>
        <v>2912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workbookViewId="0">
      <selection activeCell="Q4" sqref="Q4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4</v>
      </c>
      <c r="P2" s="16">
        <f>SUM(I10:I13)</f>
        <v>4</v>
      </c>
      <c r="Q2" s="16">
        <f>SUM(J2:J24)+I9</f>
        <v>4</v>
      </c>
      <c r="R2" s="16">
        <f>SUM(O2:Q2)</f>
        <v>12</v>
      </c>
      <c r="S2" s="16">
        <f>R2*2</f>
        <v>24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13</v>
      </c>
      <c r="P3" s="13"/>
      <c r="Q3" s="13">
        <f>SUM(J2:J24)*2+SUM(I10:I13)+H8+I9*2</f>
        <v>13</v>
      </c>
      <c r="R3" s="13">
        <f>SUM(O3:Q3)</f>
        <v>26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592</v>
      </c>
      <c r="P4" s="16"/>
      <c r="Q4" s="16">
        <f>SUM(L2:L24)</f>
        <v>554</v>
      </c>
      <c r="R4" s="16">
        <f>SUM(O4:Q4)</f>
        <v>1146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x14ac:dyDescent="0.3">
      <c r="A14" s="15"/>
      <c r="B14" s="16"/>
      <c r="C14" s="16"/>
      <c r="D14" s="16"/>
      <c r="E14" s="17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3">
      <c r="A15" s="12"/>
      <c r="B15" s="13"/>
      <c r="C15" s="13"/>
      <c r="D15" s="13"/>
      <c r="E15" s="14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</row>
    <row r="16" spans="1:19" x14ac:dyDescent="0.3">
      <c r="A16" s="15"/>
      <c r="B16" s="16"/>
      <c r="C16" s="16"/>
      <c r="D16" s="16"/>
      <c r="E16" s="17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3">
      <c r="A17" s="12"/>
      <c r="B17" s="13"/>
      <c r="C17" s="13"/>
      <c r="D17" s="13"/>
      <c r="E17" s="14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</row>
    <row r="18" spans="1:19" x14ac:dyDescent="0.3">
      <c r="A18" s="15"/>
      <c r="B18" s="16"/>
      <c r="C18" s="16"/>
      <c r="D18" s="16"/>
      <c r="E18" s="17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3">
      <c r="A19" s="12"/>
      <c r="B19" s="13"/>
      <c r="C19" s="13"/>
      <c r="D19" s="13"/>
      <c r="E19" s="14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/>
      <c r="B20" s="16"/>
      <c r="C20" s="16"/>
      <c r="D20" s="16"/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/>
      <c r="B21" s="13"/>
      <c r="C21" s="13"/>
      <c r="D21" s="13"/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7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2025-12-06T16:34:45Z</dcterms:modified>
</cp:coreProperties>
</file>
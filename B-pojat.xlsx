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62EAA54-53B2-4DBC-92B5-EFD4061EE1A0}" xr6:coauthVersionLast="47" xr6:coauthVersionMax="47" xr10:uidLastSave="{00000000-0000-0000-0000-000000000000}"/>
  <bookViews>
    <workbookView xWindow="324" yWindow="384" windowWidth="21156" windowHeight="12828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0" l="1"/>
  <c r="Q4" i="19"/>
  <c r="E4" i="10"/>
  <c r="Q3" i="19"/>
  <c r="Q2" i="19"/>
  <c r="P2" i="19"/>
  <c r="O3" i="19"/>
  <c r="G4" i="10" s="1"/>
  <c r="J4" i="10"/>
  <c r="O4" i="19"/>
  <c r="I4" i="10" s="1"/>
  <c r="F4" i="10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<sst xmlns="http://schemas.openxmlformats.org/spreadsheetml/2006/main" count="382" uniqueCount="134">
  <si>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</si>
  <si>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</si>
  <si>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</si>
  <si>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</si>
  <si>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</si>
  <si>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</si>
  <si>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</si>
  <si>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</si>
  <si>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</si>
  <si>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</si>
  <si>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</si>
  <si>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</si>
  <si>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</si>
  <si>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</si>
  <si>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</si>
  <si>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</si>
  <si>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</si>
  <si>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</si>
  <si>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</si>
  <si>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</si>
  <si>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</si>
  <si>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</si>
  <si>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</si>
  <si>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</si>
  <si>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</si>
  <si>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</si>
  <si>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</si>
  <si>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</si>
  <si>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</si>
  <si>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</si>
  <si>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</si>
  <si>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</si>
  <si>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</si>
  <si>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</si>
  <si>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</si>
  <si>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</si>
  <si>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</si>
  <si>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</si>
  <si>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</si>
  <si>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</si>
  <si>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</si>
  <si>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</si>
  <si>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</si>
  <si>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</si>
  <si>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</si>
  <si>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</si>
  <si>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</si>
  <si>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</si>
  <si>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</si>
  <si>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</si>
  <si>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</si>
  <si>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</si>
  <si>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</si>
  <si>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</si>
  <si>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</si>
  <si>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</si>
  <si>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</si>
  <si>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</si>
  <si>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</si>
  <si>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</si>
  <si>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</si>
  <si>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</si>
  <si>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</si>
  <si>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</si>
  <si>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</si>
  <si>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</si>
  <si>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</si>
  <si>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</si>
  <si>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</si>
  <si>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</si>
  <si>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</si>
  <si>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</si>
  <si>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</si>
  <si>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</si>
  <si>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</si>
  <si>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</si>
  <si>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</si>
  <si>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</si>
  <si>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</si>
  <si>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</si>
  <si>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</si>
  <si>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</si>
  <si>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</si>
  <si>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</si>
  <si>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</si>
  <si>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</si>
  <si>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</si>
  <si>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</si>
  <si>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</si>
  <si>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</si>
  <si>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</si>
  <si>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</si>
  <si>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</si>
  <si>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</si>
  <si>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</si>
  <si>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</si>
  <si>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</si>
  <si>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</si>
  <si>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</si>
  <si>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</si>
  <si>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</si>
  <si>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</si>
  <si>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</si>
  <si>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</si>
  <si>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</si>
  <si>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</si>
  <si>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</si>
  <si>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</si>
  <si>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</si>
  <si>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</si>
  <si>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</si>
  <si>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</si>
  <si>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</si>
  <si>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</si>
  <si>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</si>
  <si>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</si>
  <si>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</si>
  <si>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</si>
  <si>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</si>
  <si>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</si>
  <si>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</si>
  <si>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</si>
  <si>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</si>
  <si>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</si>
  <si>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</si>
  <si>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</si>
  <si>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</si>
  <si>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</si>
  <si>
    <t>25-19,24-26</t>
  </si>
  <si>
    <t>25-20,20-25</t>
  </si>
  <si>
    <t>25-18,22-25</t>
  </si>
  <si>
    <t>25-19,15-25</t>
  </si>
  <si>
    <t>19-25,25-14,25-17</t>
  </si>
  <si>
    <t>25-20,25-21,18-25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</si>
</sst>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H5" sqref="H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14</v>
      </c>
      <c r="D4" s="11">
        <f>'B 2025-2026'!O2</f>
        <v>6</v>
      </c>
      <c r="E4" s="11">
        <f>'B 2025-2026'!P2</f>
        <v>4</v>
      </c>
      <c r="F4" s="11">
        <f>'B 2025-2026'!Q2</f>
        <v>4</v>
      </c>
      <c r="G4" s="11">
        <f>'B 2025-2026'!O3</f>
        <v>17</v>
      </c>
      <c r="H4" s="11">
        <f>'B 2025-2026'!Q3</f>
        <v>13</v>
      </c>
      <c r="I4" s="11">
        <f>'B 2025-2026'!O4</f>
        <v>729</v>
      </c>
      <c r="J4" s="11">
        <f>'B 2025-2026'!Q4</f>
        <v>676</v>
      </c>
      <c r="K4" s="11"/>
    </row>
    <row r="5" spans="1:11" x14ac:dyDescent="0.3">
      <c r="A5" s="8"/>
      <c r="B5" s="7" t="s">
        <v>6</v>
      </c>
      <c r="C5" s="7">
        <f t="shared" ref="C5:J5" si="0">SUM(C2:C4)</f>
        <v>63</v>
      </c>
      <c r="D5" s="7">
        <f t="shared" si="0"/>
        <v>29</v>
      </c>
      <c r="E5" s="7">
        <f t="shared" si="0"/>
        <v>7</v>
      </c>
      <c r="F5" s="7">
        <f t="shared" si="0"/>
        <v>27</v>
      </c>
      <c r="G5" s="9">
        <f t="shared" si="0"/>
        <v>66</v>
      </c>
      <c r="H5" s="9">
        <f t="shared" si="0"/>
        <v>62</v>
      </c>
      <c r="I5" s="9">
        <f t="shared" si="0"/>
        <v>3043</v>
      </c>
      <c r="J5" s="9">
        <f t="shared" si="0"/>
        <v>3034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topLeftCell="A9" workbookViewId="0">
      <selection activeCell="D20" sqref="D20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6</v>
      </c>
      <c r="P2" s="16">
        <f>SUM(I10:I13)</f>
        <v>4</v>
      </c>
      <c r="Q2" s="16">
        <f>SUM(J2:J24)+I9</f>
        <v>4</v>
      </c>
      <c r="R2" s="16">
        <f>SUM(O2:Q2)</f>
        <v>14</v>
      </c>
      <c r="S2" s="16">
        <f>R2*2</f>
        <v>28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17</v>
      </c>
      <c r="P3" s="13"/>
      <c r="Q3" s="13">
        <f>SUM(J2:J24)*2+SUM(I10:I13)+H8+I9*2</f>
        <v>13</v>
      </c>
      <c r="R3" s="13">
        <f>SUM(O3:Q3)</f>
        <v>30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729</v>
      </c>
      <c r="P4" s="16"/>
      <c r="Q4" s="16">
        <f>SUM(L2:L24)</f>
        <v>676</v>
      </c>
      <c r="R4" s="16">
        <f>SUM(O4:Q4)</f>
        <v>1405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4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4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93</v>
      </c>
      <c r="E10" s="17" t="s">
        <v>39</v>
      </c>
      <c r="F10" s="16" t="s">
        <v>128</v>
      </c>
      <c r="G10" s="16"/>
      <c r="H10" s="16"/>
      <c r="I10" s="16">
        <v>1</v>
      </c>
      <c r="J10" s="16"/>
      <c r="K10" s="16">
        <v>49</v>
      </c>
      <c r="L10" s="16">
        <v>45</v>
      </c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126</v>
      </c>
      <c r="E11" s="14" t="s">
        <v>39</v>
      </c>
      <c r="F11" s="13" t="s">
        <v>129</v>
      </c>
      <c r="G11" s="13"/>
      <c r="H11" s="13"/>
      <c r="I11" s="13">
        <v>1</v>
      </c>
      <c r="J11" s="13"/>
      <c r="K11" s="13">
        <v>45</v>
      </c>
      <c r="L11" s="13">
        <v>45</v>
      </c>
      <c r="M11" s="13"/>
      <c r="N11" s="13"/>
      <c r="O11" s="13"/>
      <c r="P11" s="13"/>
      <c r="Q11" s="13"/>
      <c r="R11" s="13"/>
      <c r="S11" s="13"/>
    </row>
    <row r="12" spans="1:19" ht="28.8" x14ac:dyDescent="0.3">
      <c r="A12" s="15">
        <v>45997</v>
      </c>
      <c r="B12" s="16" t="s">
        <v>7</v>
      </c>
      <c r="C12" s="16" t="s">
        <v>110</v>
      </c>
      <c r="D12" s="16" t="s">
        <v>127</v>
      </c>
      <c r="E12" s="17" t="s">
        <v>39</v>
      </c>
      <c r="F12" s="16" t="s">
        <v>130</v>
      </c>
      <c r="G12" s="16"/>
      <c r="H12" s="16"/>
      <c r="I12" s="16">
        <v>1</v>
      </c>
      <c r="J12" s="16"/>
      <c r="K12" s="16">
        <v>47</v>
      </c>
      <c r="L12" s="16">
        <v>43</v>
      </c>
      <c r="M12" s="16"/>
      <c r="N12" s="16"/>
      <c r="O12" s="16"/>
      <c r="P12" s="16"/>
      <c r="Q12" s="16"/>
      <c r="R12" s="16"/>
      <c r="S12" s="16"/>
    </row>
    <row r="13" spans="1:19" x14ac:dyDescent="0.3">
      <c r="A13" s="12">
        <v>45997</v>
      </c>
      <c r="B13" s="13" t="s">
        <v>7</v>
      </c>
      <c r="C13" s="13" t="s">
        <v>110</v>
      </c>
      <c r="D13" s="13" t="s">
        <v>113</v>
      </c>
      <c r="E13" s="14" t="s">
        <v>39</v>
      </c>
      <c r="F13" s="13" t="s">
        <v>131</v>
      </c>
      <c r="G13" s="13"/>
      <c r="H13" s="13"/>
      <c r="I13" s="13">
        <v>1</v>
      </c>
      <c r="J13" s="13"/>
      <c r="K13" s="13">
        <v>40</v>
      </c>
      <c r="L13" s="13">
        <v>44</v>
      </c>
      <c r="M13" s="13"/>
      <c r="N13" s="13"/>
      <c r="O13" s="13"/>
      <c r="P13" s="13"/>
      <c r="Q13" s="13"/>
      <c r="R13" s="13"/>
      <c r="S13" s="13"/>
    </row>
    <row r="14" spans="1:19" ht="28.8" x14ac:dyDescent="0.3">
      <c r="A14" s="15">
        <v>45308</v>
      </c>
      <c r="B14" s="16" t="s">
        <v>7</v>
      </c>
      <c r="C14" s="16" t="s">
        <v>110</v>
      </c>
      <c r="D14" s="16" t="s">
        <v>107</v>
      </c>
      <c r="E14" s="17" t="s">
        <v>10</v>
      </c>
      <c r="F14" s="16" t="s">
        <v>132</v>
      </c>
      <c r="G14" s="16"/>
      <c r="H14" s="16">
        <v>1</v>
      </c>
      <c r="I14" s="16"/>
      <c r="J14" s="16"/>
      <c r="K14" s="16">
        <v>69</v>
      </c>
      <c r="L14" s="16">
        <v>56</v>
      </c>
      <c r="M14" s="16"/>
      <c r="N14" s="16"/>
      <c r="O14" s="16"/>
      <c r="P14" s="16"/>
      <c r="Q14" s="16"/>
      <c r="R14" s="16"/>
      <c r="S14" s="16"/>
    </row>
    <row r="15" spans="1:19" ht="28.8" x14ac:dyDescent="0.3">
      <c r="A15" s="22">
        <v>45674</v>
      </c>
      <c r="B15" s="23" t="s">
        <v>7</v>
      </c>
      <c r="C15" s="23" t="s">
        <v>110</v>
      </c>
      <c r="D15" s="13" t="s">
        <v>123</v>
      </c>
      <c r="E15" s="14" t="s">
        <v>10</v>
      </c>
      <c r="F15" s="13" t="s">
        <v>133</v>
      </c>
      <c r="G15" s="13"/>
      <c r="H15" s="13">
        <v>1</v>
      </c>
      <c r="I15" s="13"/>
      <c r="J15" s="13"/>
      <c r="K15" s="13">
        <v>68</v>
      </c>
      <c r="L15" s="13">
        <v>66</v>
      </c>
      <c r="M15" s="13"/>
      <c r="N15" s="13"/>
      <c r="O15" s="13"/>
      <c r="P15" s="13"/>
      <c r="Q15" s="13"/>
      <c r="R15" s="13"/>
      <c r="S15" s="13"/>
    </row>
    <row r="16" spans="1:19" x14ac:dyDescent="0.3">
      <c r="A16" s="15">
        <v>46060</v>
      </c>
      <c r="B16" s="16" t="s">
        <v>7</v>
      </c>
      <c r="C16" s="16" t="s">
        <v>110</v>
      </c>
      <c r="D16" s="16" t="s">
        <v>117</v>
      </c>
      <c r="E16" s="17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22">
        <v>46060</v>
      </c>
      <c r="B17" s="23" t="s">
        <v>7</v>
      </c>
      <c r="C17" s="23" t="s">
        <v>110</v>
      </c>
      <c r="D17" s="13" t="s">
        <v>84</v>
      </c>
      <c r="E17" s="14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>
        <v>46060</v>
      </c>
      <c r="B18" s="16" t="s">
        <v>7</v>
      </c>
      <c r="C18" s="16" t="s">
        <v>110</v>
      </c>
      <c r="D18" s="16" t="s">
        <v>107</v>
      </c>
      <c r="E18" s="17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4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7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2026-01-24T05:54:47Z</dcterms:modified>
</cp:coreProperties>
</file>
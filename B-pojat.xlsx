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54F2DD2-23B3-4E6A-8DEA-38A66BEC351B}" xr6:coauthVersionLast="47" xr6:coauthVersionMax="47" xr10:uidLastSave="{00000000-0000-0000-0000-000000000000}"/>
  <bookViews>
    <workbookView xWindow="384" yWindow="384" windowWidth="21876" windowHeight="12012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9" l="1"/>
  <c r="O3" i="19"/>
  <c r="G4" i="10" s="1"/>
  <c r="H4" i="10"/>
  <c r="E4" i="10"/>
  <c r="Q4" i="19"/>
  <c r="J4" i="10" s="1"/>
  <c r="O4" i="19"/>
  <c r="I4" i="10" s="1"/>
  <c r="Q2" i="19"/>
  <c r="F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<sst xmlns="http://schemas.openxmlformats.org/spreadsheetml/2006/main" count="355" uniqueCount="128">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</sst>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J5" sqref="J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7</v>
      </c>
      <c r="D4" s="11">
        <f>'B 2025-2026'!O2</f>
        <v>4</v>
      </c>
      <c r="E4" s="11">
        <f>'B 2025-2026'!P4</f>
        <v>0</v>
      </c>
      <c r="F4" s="11">
        <f>'B 2025-2026'!Q2</f>
        <v>3</v>
      </c>
      <c r="G4" s="11">
        <f>'B 2025-2026'!O3</f>
        <v>9</v>
      </c>
      <c r="H4" s="11">
        <f>'B 2025-2026'!Q5</f>
        <v>0</v>
      </c>
      <c r="I4" s="11">
        <f>'B 2025-2026'!O4</f>
        <v>411</v>
      </c>
      <c r="J4" s="11">
        <f>'B 2025-2026'!Q4</f>
        <v>377</v>
      </c>
      <c r="K4" s="11"/>
    </row>
    <row r="5" spans="1:11" x14ac:dyDescent="0.3">
      <c r="A5" s="8"/>
      <c r="B5" s="7" t="s">
        <v>6</v>
      </c>
      <c r="C5" s="7">
        <f t="shared" ref="C5:J5" si="0">SUM(C2:C4)</f>
        <v>56</v>
      </c>
      <c r="D5" s="7">
        <f t="shared" si="0"/>
        <v>27</v>
      </c>
      <c r="E5" s="7">
        <f t="shared" si="0"/>
        <v>3</v>
      </c>
      <c r="F5" s="7">
        <f t="shared" si="0"/>
        <v>26</v>
      </c>
      <c r="G5" s="9">
        <f t="shared" si="0"/>
        <v>58</v>
      </c>
      <c r="H5" s="9">
        <f t="shared" si="0"/>
        <v>49</v>
      </c>
      <c r="I5" s="9">
        <f t="shared" si="0"/>
        <v>2725</v>
      </c>
      <c r="J5" s="9">
        <f t="shared" si="0"/>
        <v>2735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workbookViewId="0">
      <selection activeCell="D14" sqref="D14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4</v>
      </c>
      <c r="P2" s="16"/>
      <c r="Q2" s="16">
        <f>SUM(J2:J24)</f>
        <v>3</v>
      </c>
      <c r="R2" s="16">
        <f>SUM(O2:Q2)</f>
        <v>7</v>
      </c>
      <c r="S2" s="16">
        <f>R2*2</f>
        <v>14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9</v>
      </c>
      <c r="P3" s="13"/>
      <c r="Q3" s="13">
        <f>SUM(J2:J8)*2+2*SUM(I2:I24)+H8</f>
        <v>9</v>
      </c>
      <c r="R3" s="13">
        <f>SUM(O3:Q3)</f>
        <v>18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411</v>
      </c>
      <c r="P4" s="16"/>
      <c r="Q4" s="16">
        <f>SUM(L2:L24)</f>
        <v>377</v>
      </c>
      <c r="R4" s="16">
        <f>SUM(O4:Q4)</f>
        <v>788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3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3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</row>
    <row r="14" spans="1:19" x14ac:dyDescent="0.3">
      <c r="A14" s="15"/>
      <c r="B14" s="16"/>
      <c r="C14" s="16"/>
      <c r="D14" s="16"/>
      <c r="E14" s="17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3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pans="1:19" x14ac:dyDescent="0.3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3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</row>
    <row r="18" spans="1:19" x14ac:dyDescent="0.3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2025-11-26T06:10:55Z</dcterms:modified>
</cp:coreProperties>
</file>
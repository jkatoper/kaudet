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wn_prog\github\kaudet\"/>
    </mc:Choice>
  </mc:AlternateContent>
  <xr:revisionPtr revIDLastSave="0" documentId="13_ncr:1_{9605BEAD-C0B7-46EF-9043-65AA102B0B9B}" xr6:coauthVersionLast="47" xr6:coauthVersionMax="47" xr10:uidLastSave="{00000000-0000-0000-0000-000000000000}"/>
  <bookViews>
    <workbookView xWindow="-108" yWindow="-108" windowWidth="23256" windowHeight="13896" tabRatio="880" activeTab="1" xr2:uid="{CFC6D258-5D3C-46F8-BFEC-F3C271445404}"/>
  </bookViews>
  <sheets>
    <sheet name="B 2023-2027" sheetId="10" r:id="rId1"/>
    <sheet name="B 2026-2027" sheetId="20" r:id="rId2"/>
    <sheet name="B 2025-2026" sheetId="19" r:id="rId3"/>
    <sheet name="B 2024-2025" sheetId="18" r:id="rId4"/>
    <sheet name="B 2023-2024" sheetId="1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0" l="1"/>
  <c r="E6" i="10"/>
  <c r="Q4" i="20"/>
  <c r="O4" i="20"/>
  <c r="Q3" i="20"/>
  <c r="O3" i="20"/>
  <c r="Q2" i="20"/>
  <c r="J5" i="10" s="1"/>
  <c r="J6" i="10" s="1"/>
  <c r="P2" i="20"/>
  <c r="O2" i="20"/>
  <c r="I5" i="10" s="1"/>
  <c r="I6" i="10" s="1"/>
  <c r="Q4" i="19"/>
  <c r="J4" i="10" s="1"/>
  <c r="E4" i="10"/>
  <c r="Q3" i="19"/>
  <c r="H4" i="10" s="1"/>
  <c r="Q2" i="19"/>
  <c r="F4" i="10" s="1"/>
  <c r="P2" i="19"/>
  <c r="O3" i="19"/>
  <c r="G4" i="10" s="1"/>
  <c r="O4" i="19"/>
  <c r="I4" i="10" s="1"/>
  <c r="O2" i="19"/>
  <c r="D4" i="10" s="1"/>
  <c r="P4" i="17"/>
  <c r="N4" i="17"/>
  <c r="P4" i="18"/>
  <c r="N4" i="18"/>
  <c r="E3" i="10"/>
  <c r="J3" i="10"/>
  <c r="I3" i="10"/>
  <c r="P3" i="18"/>
  <c r="H3" i="10" s="1"/>
  <c r="N3" i="18"/>
  <c r="G3" i="10" s="1"/>
  <c r="P2" i="18"/>
  <c r="F3" i="10" s="1"/>
  <c r="O2" i="18"/>
  <c r="N2" i="18"/>
  <c r="D3" i="10" s="1"/>
  <c r="P3" i="17"/>
  <c r="H2" i="10" s="1"/>
  <c r="N3" i="17"/>
  <c r="G2" i="10" s="1"/>
  <c r="P2" i="17"/>
  <c r="F2" i="10" s="1"/>
  <c r="N2" i="17"/>
  <c r="O2" i="17"/>
  <c r="E2" i="10"/>
  <c r="D2" i="10"/>
  <c r="D5" i="10" l="1"/>
  <c r="D6" i="10" s="1"/>
  <c r="G5" i="10"/>
  <c r="G6" i="10" s="1"/>
  <c r="R4" i="20"/>
  <c r="F5" i="10"/>
  <c r="F6" i="10" s="1"/>
  <c r="H5" i="10"/>
  <c r="H6" i="10" s="1"/>
  <c r="R3" i="20"/>
  <c r="R2" i="20"/>
  <c r="R4" i="19"/>
  <c r="R2" i="19"/>
  <c r="R3" i="19"/>
  <c r="Q4" i="18"/>
  <c r="Q2" i="18"/>
  <c r="Q3" i="18"/>
  <c r="S2" i="20" l="1"/>
  <c r="C5" i="10"/>
  <c r="C6" i="10" s="1"/>
  <c r="C4" i="10"/>
  <c r="S2" i="19"/>
  <c r="C3" i="10"/>
  <c r="Q2" i="17"/>
  <c r="C2" i="10" s="1"/>
  <c r="J2" i="10"/>
  <c r="Q3" i="17"/>
  <c r="Q4" i="17" l="1"/>
  <c r="I2" i="10"/>
</calcChain>
</file>

<file path=xl/sharedStrings.xml><?xml version="1.0" encoding="utf-8"?>
<sst xmlns="http://schemas.openxmlformats.org/spreadsheetml/2006/main" count="449" uniqueCount="150">
  <si>
    <t>päivä</t>
  </si>
  <si>
    <t>viikonpäivä</t>
  </si>
  <si>
    <t>Tulos</t>
  </si>
  <si>
    <t>Eräpisteet</t>
  </si>
  <si>
    <t>pisteet</t>
  </si>
  <si>
    <t>Muut</t>
  </si>
  <si>
    <t>yhteensä</t>
  </si>
  <si>
    <t>La</t>
  </si>
  <si>
    <t>0-2</t>
  </si>
  <si>
    <t>voitot</t>
  </si>
  <si>
    <t>2-1</t>
  </si>
  <si>
    <t>OrPo</t>
  </si>
  <si>
    <t>eräpisteet</t>
  </si>
  <si>
    <t>1-2</t>
  </si>
  <si>
    <t>NarPa</t>
  </si>
  <si>
    <t>Su</t>
  </si>
  <si>
    <t>2-0</t>
  </si>
  <si>
    <t>YlöR</t>
  </si>
  <si>
    <t>VaLePa</t>
  </si>
  <si>
    <t>tasapeli</t>
  </si>
  <si>
    <t>Isku-Veikot</t>
  </si>
  <si>
    <t>seura</t>
  </si>
  <si>
    <t>kausi</t>
  </si>
  <si>
    <t>kaikki ottelut</t>
  </si>
  <si>
    <t>ottelut voitto</t>
  </si>
  <si>
    <t>ottelut tasapeli</t>
  </si>
  <si>
    <t>ottelut tappio</t>
  </si>
  <si>
    <t>pisteet muut</t>
  </si>
  <si>
    <t>eräpisteet muut</t>
  </si>
  <si>
    <t>sijoitus</t>
  </si>
  <si>
    <t>eräpisteet I-V</t>
  </si>
  <si>
    <t>2023-2024</t>
  </si>
  <si>
    <t>LPK</t>
  </si>
  <si>
    <t>VilTä</t>
  </si>
  <si>
    <t>Jankko</t>
  </si>
  <si>
    <t>TKT</t>
  </si>
  <si>
    <t>Kajastus</t>
  </si>
  <si>
    <t>Jankko B2</t>
  </si>
  <si>
    <t>1-1</t>
  </si>
  <si>
    <t>21-25,25-15</t>
  </si>
  <si>
    <t>25-9,25-20</t>
  </si>
  <si>
    <t>18-25,25-23</t>
  </si>
  <si>
    <t>25-14,26-24</t>
  </si>
  <si>
    <t>25-13,25-19</t>
  </si>
  <si>
    <t>KoKa</t>
  </si>
  <si>
    <t>25-22,25-13</t>
  </si>
  <si>
    <t>25-19,25-14</t>
  </si>
  <si>
    <t>25-18,20-25</t>
  </si>
  <si>
    <t>PuMa B2</t>
  </si>
  <si>
    <t>25-21,25-18</t>
  </si>
  <si>
    <t>ArSi</t>
  </si>
  <si>
    <t>25-19,11-25,15-9</t>
  </si>
  <si>
    <t>26-24,25-22</t>
  </si>
  <si>
    <t>PuMa B1</t>
  </si>
  <si>
    <t>25-21,25-23</t>
  </si>
  <si>
    <t>OsVa B2</t>
  </si>
  <si>
    <t>21-25,25-17,16-14</t>
  </si>
  <si>
    <t>Krive</t>
  </si>
  <si>
    <t>26-28,22-25</t>
  </si>
  <si>
    <t>20-25,17-25</t>
  </si>
  <si>
    <t>25-22,25-22</t>
  </si>
  <si>
    <t>14-25,25-23,17-15</t>
  </si>
  <si>
    <t>25-19,25-20</t>
  </si>
  <si>
    <t>KaPo</t>
  </si>
  <si>
    <t>24-26,25-19,11-15</t>
  </si>
  <si>
    <t>Loimu1</t>
  </si>
  <si>
    <t>18-25,25-14,17-15</t>
  </si>
  <si>
    <t>17-25,17-25</t>
  </si>
  <si>
    <t>15-25,20-25</t>
  </si>
  <si>
    <t>YJ</t>
  </si>
  <si>
    <t>23-25,15-25</t>
  </si>
  <si>
    <t>PuMaB2</t>
  </si>
  <si>
    <t>25-22,25-20</t>
  </si>
  <si>
    <t>32-30,17-25,9-15</t>
  </si>
  <si>
    <t>15-24,24-26</t>
  </si>
  <si>
    <t>2024-2025</t>
  </si>
  <si>
    <t>Viesti Red</t>
  </si>
  <si>
    <t>24-26,20-25</t>
  </si>
  <si>
    <t>22-25,22-25</t>
  </si>
  <si>
    <t>18-25,10-25</t>
  </si>
  <si>
    <t>I-V</t>
  </si>
  <si>
    <t>Lempo-Volley</t>
  </si>
  <si>
    <t>Ähtärin Urheilijat</t>
  </si>
  <si>
    <t>PuWo</t>
  </si>
  <si>
    <t>16-25,15-25</t>
  </si>
  <si>
    <t>25-19,16-25,10-15</t>
  </si>
  <si>
    <t>25-11,25-20</t>
  </si>
  <si>
    <t>Salpis</t>
  </si>
  <si>
    <t>16-25,13-25</t>
  </si>
  <si>
    <t>PuMa B3</t>
  </si>
  <si>
    <t>29-27,26-24</t>
  </si>
  <si>
    <t>21-25,9-25</t>
  </si>
  <si>
    <t>BV</t>
  </si>
  <si>
    <t>PuMa B4</t>
  </si>
  <si>
    <t>25-15,26-24</t>
  </si>
  <si>
    <t>25-14,25-20</t>
  </si>
  <si>
    <t>18-25,25-14,15-9</t>
  </si>
  <si>
    <t>9-25,18-25</t>
  </si>
  <si>
    <t>22-25-20-25</t>
  </si>
  <si>
    <t>25-21,24-26,15-8</t>
  </si>
  <si>
    <t>25-19,21-25,9-15</t>
  </si>
  <si>
    <t>25-17,17-25,15-10</t>
  </si>
  <si>
    <t>18-25,13-25</t>
  </si>
  <si>
    <t>17-25,16-25</t>
  </si>
  <si>
    <t>25-9,25-12</t>
  </si>
  <si>
    <t>19-25,21-25</t>
  </si>
  <si>
    <t>AK</t>
  </si>
  <si>
    <t>25-22,22-25,21-25</t>
  </si>
  <si>
    <t>13-25,23-25,26-24</t>
  </si>
  <si>
    <t>A-Volley</t>
  </si>
  <si>
    <t>2025-2026</t>
  </si>
  <si>
    <t>PuMa AB</t>
  </si>
  <si>
    <t>Viesti White</t>
  </si>
  <si>
    <t>25-10,25-12</t>
  </si>
  <si>
    <t>25-5,25-127</t>
  </si>
  <si>
    <t>25-23,19-25,12-15</t>
  </si>
  <si>
    <t>KempeLe</t>
  </si>
  <si>
    <t>JoU</t>
  </si>
  <si>
    <t>25-18,25-16</t>
  </si>
  <si>
    <t>25-21,12-25,13-15</t>
  </si>
  <si>
    <t>21-25,21-25</t>
  </si>
  <si>
    <t>23-25,25-19,25-17</t>
  </si>
  <si>
    <t>OsVa2</t>
  </si>
  <si>
    <t>25-19,15-25,0-25</t>
  </si>
  <si>
    <t>A-V</t>
  </si>
  <si>
    <t>PuMa Spike</t>
  </si>
  <si>
    <t>PuMa Smash</t>
  </si>
  <si>
    <t>25-19,24-26</t>
  </si>
  <si>
    <t>25-20,20-25</t>
  </si>
  <si>
    <t>25-18,22-25</t>
  </si>
  <si>
    <t>25-19,15-25</t>
  </si>
  <si>
    <t>19-25,25-14,25-17</t>
  </si>
  <si>
    <t>25-20,25-21,18-25</t>
  </si>
  <si>
    <t>25-23.25-13</t>
  </si>
  <si>
    <t>23-25,25-23,12-15</t>
  </si>
  <si>
    <t>20-25,26-24,15-13</t>
  </si>
  <si>
    <t>Jankko1</t>
  </si>
  <si>
    <t>OsVa1</t>
  </si>
  <si>
    <t>16-25,20-25</t>
  </si>
  <si>
    <t>12-25,7-25</t>
  </si>
  <si>
    <t>Lempo</t>
  </si>
  <si>
    <t>21-25,24-26</t>
  </si>
  <si>
    <t>25-13,25-14</t>
  </si>
  <si>
    <t>25-20,21-25,15-11</t>
  </si>
  <si>
    <t>pisteet I-V/A-V</t>
  </si>
  <si>
    <t>2026-2027</t>
  </si>
  <si>
    <t>Pirkat Blue</t>
  </si>
  <si>
    <t>PuMa 2</t>
  </si>
  <si>
    <t>19-25,16-25</t>
  </si>
  <si>
    <t>21-25,11-25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</si>
</sst>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.&quot;m&quot;.&quot;yyyy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164" fontId="0" fillId="0" borderId="0" xfId="0" applyNumberFormat="1"/>
    <xf numFmtId="49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0" fontId="2" fillId="2" borderId="1" xfId="0" applyFont="1" applyFill="1" applyBorder="1"/>
    <xf numFmtId="0" fontId="0" fillId="3" borderId="1" xfId="0" applyFill="1" applyBorder="1"/>
    <xf numFmtId="16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164" fontId="0" fillId="3" borderId="1" xfId="0" applyNumberForma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49" fontId="0" fillId="3" borderId="1" xfId="0" applyNumberForma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0" xfId="0" applyFont="1" applyFill="1"/>
    <xf numFmtId="164" fontId="0" fillId="4" borderId="1" xfId="0" applyNumberForma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/>
    <xf numFmtId="0" fontId="3" fillId="4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67001-218C-45B4-A8EB-DA7B4798BC50}">
  <sheetPr>
    <tabColor rgb="FF92D050"/>
  </sheetPr>
  <dimension ref="A1:K6"/>
  <sheetViews>
    <sheetView workbookViewId="0">
      <selection activeCell="J6" sqref="J6"/>
    </sheetView>
  </sheetViews>
  <sheetFormatPr defaultRowHeight="14.4" x14ac:dyDescent="0.3"/>
  <cols>
    <col min="1" max="11" width="10.77734375" customWidth="1"/>
  </cols>
  <sheetData>
    <row r="1" spans="1:11" x14ac:dyDescent="0.3">
      <c r="A1" s="19" t="s">
        <v>21</v>
      </c>
      <c r="B1" s="8" t="s">
        <v>22</v>
      </c>
      <c r="C1" s="8" t="s">
        <v>23</v>
      </c>
      <c r="D1" s="8" t="s">
        <v>24</v>
      </c>
      <c r="E1" s="8" t="s">
        <v>25</v>
      </c>
      <c r="F1" s="8" t="s">
        <v>26</v>
      </c>
      <c r="G1" s="8" t="s">
        <v>144</v>
      </c>
      <c r="H1" s="8" t="s">
        <v>27</v>
      </c>
      <c r="I1" s="8" t="s">
        <v>30</v>
      </c>
      <c r="J1" s="8" t="s">
        <v>28</v>
      </c>
      <c r="K1" s="8" t="s">
        <v>29</v>
      </c>
    </row>
    <row r="2" spans="1:11" x14ac:dyDescent="0.3">
      <c r="A2" s="9" t="s">
        <v>36</v>
      </c>
      <c r="B2" s="9" t="s">
        <v>31</v>
      </c>
      <c r="C2" s="9">
        <f>'B 2023-2024'!Q2</f>
        <v>26</v>
      </c>
      <c r="D2" s="9">
        <f>'B 2023-2024'!N2</f>
        <v>15</v>
      </c>
      <c r="E2" s="9">
        <f>'B 2023-2024'!O2</f>
        <v>3</v>
      </c>
      <c r="F2" s="9">
        <f>'B 2023-2024'!P2</f>
        <v>8</v>
      </c>
      <c r="G2" s="9">
        <f>'B 2023-2024'!N3</f>
        <v>33</v>
      </c>
      <c r="H2" s="9">
        <f>'B 2023-2024'!P3</f>
        <v>19</v>
      </c>
      <c r="I2" s="9">
        <f>'B 2023-2024'!N4</f>
        <v>1264</v>
      </c>
      <c r="J2" s="9">
        <f>'B 2023-2024'!P4</f>
        <v>1211</v>
      </c>
      <c r="K2" s="9">
        <v>15</v>
      </c>
    </row>
    <row r="3" spans="1:11" x14ac:dyDescent="0.3">
      <c r="A3" s="7" t="s">
        <v>20</v>
      </c>
      <c r="B3" s="7" t="s">
        <v>75</v>
      </c>
      <c r="C3" s="7">
        <f>'B 2024-2025'!Q2</f>
        <v>23</v>
      </c>
      <c r="D3" s="7">
        <f>'B 2024-2025'!N2</f>
        <v>8</v>
      </c>
      <c r="E3" s="7">
        <f>'B 2024-2025'!O3</f>
        <v>0</v>
      </c>
      <c r="F3" s="7">
        <f>'B 2024-2025'!P2</f>
        <v>15</v>
      </c>
      <c r="G3" s="7">
        <f>'B 2024-2025'!N3</f>
        <v>16</v>
      </c>
      <c r="H3" s="7">
        <f>'B 2024-2025'!P3</f>
        <v>30</v>
      </c>
      <c r="I3" s="7">
        <f>'B 2024-2025'!N4</f>
        <v>1050</v>
      </c>
      <c r="J3" s="7">
        <f>'B 2024-2025'!P4</f>
        <v>1147</v>
      </c>
      <c r="K3" s="7">
        <v>23</v>
      </c>
    </row>
    <row r="4" spans="1:11" x14ac:dyDescent="0.3">
      <c r="A4" s="9" t="s">
        <v>109</v>
      </c>
      <c r="B4" s="9" t="s">
        <v>110</v>
      </c>
      <c r="C4" s="9">
        <f>'B 2025-2026'!R2</f>
        <v>23</v>
      </c>
      <c r="D4" s="9">
        <f>'B 2025-2026'!O2</f>
        <v>10</v>
      </c>
      <c r="E4" s="9">
        <f>'B 2025-2026'!P2</f>
        <v>4</v>
      </c>
      <c r="F4" s="9">
        <f>'B 2025-2026'!Q2</f>
        <v>9</v>
      </c>
      <c r="G4" s="9">
        <f>'B 2025-2026'!O3</f>
        <v>25</v>
      </c>
      <c r="H4" s="9">
        <f>'B 2025-2026'!Q3</f>
        <v>23</v>
      </c>
      <c r="I4" s="9">
        <f>'B 2025-2026'!O4</f>
        <v>1146</v>
      </c>
      <c r="J4" s="9">
        <f>'B 2025-2026'!Q4</f>
        <v>1122</v>
      </c>
      <c r="K4" s="9">
        <v>14</v>
      </c>
    </row>
    <row r="5" spans="1:11" x14ac:dyDescent="0.3">
      <c r="A5" s="22" t="s">
        <v>109</v>
      </c>
      <c r="B5" s="22" t="s">
        <v>145</v>
      </c>
      <c r="C5" s="23">
        <f>'B 2026-2027'!R2</f>
        <v>1</v>
      </c>
      <c r="D5" s="23">
        <f>'B 2026-2027'!O2</f>
        <v>1</v>
      </c>
      <c r="E5" s="23">
        <f>'B 2026-2027'!P2</f>
        <v>0</v>
      </c>
      <c r="F5" s="23">
        <f>'B 2026-2027'!Q2</f>
        <v>0</v>
      </c>
      <c r="G5" s="23">
        <f>'B 2026-2027'!O2</f>
        <v>1</v>
      </c>
      <c r="H5" s="23">
        <f>'B 2026-2027'!Q2</f>
        <v>0</v>
      </c>
      <c r="I5" s="23">
        <f>'B 2026-2027'!O2</f>
        <v>1</v>
      </c>
      <c r="J5" s="23">
        <f>'B 2026-2027'!Q2</f>
        <v>0</v>
      </c>
      <c r="K5" s="22"/>
    </row>
    <row r="6" spans="1:11" x14ac:dyDescent="0.3">
      <c r="A6" s="9"/>
      <c r="B6" s="24" t="s">
        <v>6</v>
      </c>
      <c r="C6" s="24">
        <f>SUM(C2:C5)</f>
        <v>73</v>
      </c>
      <c r="D6" s="24">
        <f t="shared" ref="D6:J6" si="0">SUM(D2:D5)</f>
        <v>34</v>
      </c>
      <c r="E6" s="24">
        <f t="shared" si="0"/>
        <v>7</v>
      </c>
      <c r="F6" s="24">
        <f t="shared" si="0"/>
        <v>32</v>
      </c>
      <c r="G6" s="24">
        <f t="shared" si="0"/>
        <v>75</v>
      </c>
      <c r="H6" s="24">
        <f t="shared" si="0"/>
        <v>72</v>
      </c>
      <c r="I6" s="24">
        <f t="shared" si="0"/>
        <v>3461</v>
      </c>
      <c r="J6" s="24">
        <f t="shared" si="0"/>
        <v>3480</v>
      </c>
      <c r="K6" s="9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60E15-68A6-4F46-9CFB-87CEA47F9577}">
  <sheetPr>
    <tabColor rgb="FFFFC000"/>
  </sheetPr>
  <dimension ref="A1:S24"/>
  <sheetViews>
    <sheetView tabSelected="1" workbookViewId="0">
      <selection activeCell="L5" sqref="L5"/>
    </sheetView>
  </sheetViews>
  <sheetFormatPr defaultRowHeight="14.4" x14ac:dyDescent="0.3"/>
  <cols>
    <col min="1" max="3" width="10.77734375" customWidth="1"/>
    <col min="4" max="4" width="11.44140625" customWidth="1"/>
    <col min="5" max="19" width="10.77734375" customWidth="1"/>
  </cols>
  <sheetData>
    <row r="1" spans="1:19" x14ac:dyDescent="0.3">
      <c r="A1" s="16" t="s">
        <v>0</v>
      </c>
      <c r="B1" s="16" t="s">
        <v>1</v>
      </c>
      <c r="C1" s="16"/>
      <c r="D1" s="16"/>
      <c r="E1" s="16" t="s">
        <v>2</v>
      </c>
      <c r="F1" s="16" t="s">
        <v>3</v>
      </c>
      <c r="G1" s="16">
        <v>3</v>
      </c>
      <c r="H1" s="16">
        <v>2</v>
      </c>
      <c r="I1" s="16">
        <v>1</v>
      </c>
      <c r="J1" s="16">
        <v>0</v>
      </c>
      <c r="K1" s="16" t="s">
        <v>4</v>
      </c>
      <c r="L1" s="16" t="s">
        <v>4</v>
      </c>
      <c r="M1" s="16"/>
      <c r="N1" s="16"/>
      <c r="O1" s="16" t="s">
        <v>124</v>
      </c>
      <c r="P1" s="16" t="s">
        <v>19</v>
      </c>
      <c r="Q1" s="16" t="s">
        <v>5</v>
      </c>
      <c r="R1" s="16" t="s">
        <v>6</v>
      </c>
      <c r="S1" s="16" t="s">
        <v>6</v>
      </c>
    </row>
    <row r="2" spans="1:19" x14ac:dyDescent="0.3">
      <c r="A2" s="13">
        <v>46312</v>
      </c>
      <c r="B2" s="14" t="s">
        <v>7</v>
      </c>
      <c r="C2" s="14" t="s">
        <v>109</v>
      </c>
      <c r="D2" s="14" t="s">
        <v>146</v>
      </c>
      <c r="E2" s="15" t="s">
        <v>8</v>
      </c>
      <c r="F2" s="14" t="s">
        <v>148</v>
      </c>
      <c r="G2" s="14"/>
      <c r="H2" s="14"/>
      <c r="I2" s="14"/>
      <c r="J2" s="14">
        <v>0</v>
      </c>
      <c r="K2" s="14">
        <v>35</v>
      </c>
      <c r="L2" s="14">
        <v>50</v>
      </c>
      <c r="M2" s="14"/>
      <c r="N2" s="17" t="s">
        <v>9</v>
      </c>
      <c r="O2" s="14">
        <f>SUM(H2:H24)</f>
        <v>1</v>
      </c>
      <c r="P2" s="14">
        <f>SUM(I10:I13)</f>
        <v>0</v>
      </c>
      <c r="Q2" s="14">
        <f>SUM(J2:J24)+I9</f>
        <v>0</v>
      </c>
      <c r="R2" s="14">
        <f>SUM(O2:Q2)</f>
        <v>1</v>
      </c>
      <c r="S2" s="14">
        <f>R2*2</f>
        <v>2</v>
      </c>
    </row>
    <row r="3" spans="1:19" x14ac:dyDescent="0.3">
      <c r="A3" s="20">
        <v>46312</v>
      </c>
      <c r="B3" s="12" t="s">
        <v>7</v>
      </c>
      <c r="C3" s="12" t="s">
        <v>109</v>
      </c>
      <c r="D3" s="12" t="s">
        <v>147</v>
      </c>
      <c r="E3" s="12" t="s">
        <v>16</v>
      </c>
      <c r="F3" s="11" t="s">
        <v>54</v>
      </c>
      <c r="G3" s="11"/>
      <c r="H3" s="11">
        <v>1</v>
      </c>
      <c r="I3" s="11"/>
      <c r="J3" s="11"/>
      <c r="K3" s="11">
        <v>50</v>
      </c>
      <c r="L3" s="11">
        <v>43</v>
      </c>
      <c r="M3" s="11"/>
      <c r="N3" s="18" t="s">
        <v>4</v>
      </c>
      <c r="O3" s="11">
        <f>SUM(H2:H24)*2+SUM(I2:I24)</f>
        <v>2</v>
      </c>
      <c r="P3" s="11"/>
      <c r="Q3" s="11">
        <f>SUM(J2:J24)*2+SUM(I10:I13)+H8+I9*2</f>
        <v>0</v>
      </c>
      <c r="R3" s="11">
        <f>SUM(O3:Q3)</f>
        <v>2</v>
      </c>
      <c r="S3" s="11"/>
    </row>
    <row r="4" spans="1:19" x14ac:dyDescent="0.3">
      <c r="A4" s="13">
        <v>46312</v>
      </c>
      <c r="B4" s="14" t="s">
        <v>7</v>
      </c>
      <c r="C4" s="14" t="s">
        <v>109</v>
      </c>
      <c r="D4" s="14" t="s">
        <v>76</v>
      </c>
      <c r="E4" s="15" t="s">
        <v>8</v>
      </c>
      <c r="F4" s="14" t="s">
        <v>149</v>
      </c>
      <c r="G4" s="14"/>
      <c r="H4" s="14"/>
      <c r="I4" s="14"/>
      <c r="J4" s="14">
        <v>0</v>
      </c>
      <c r="K4" s="14">
        <v>32</v>
      </c>
      <c r="L4" s="14">
        <v>60</v>
      </c>
      <c r="M4" s="14"/>
      <c r="N4" s="17" t="s">
        <v>12</v>
      </c>
      <c r="O4" s="14">
        <f>SUM(K2:K24)</f>
        <v>117</v>
      </c>
      <c r="P4" s="14"/>
      <c r="Q4" s="14">
        <f>SUM(L2:L24)</f>
        <v>153</v>
      </c>
      <c r="R4" s="14">
        <f>SUM(O4:Q4)</f>
        <v>270</v>
      </c>
      <c r="S4" s="14"/>
    </row>
    <row r="5" spans="1:19" x14ac:dyDescent="0.3">
      <c r="A5" s="10"/>
      <c r="B5" s="11"/>
      <c r="C5" s="11"/>
      <c r="D5" s="11"/>
      <c r="E5" s="12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spans="1:19" x14ac:dyDescent="0.3">
      <c r="A6" s="13"/>
      <c r="B6" s="14"/>
      <c r="C6" s="14"/>
      <c r="D6" s="14"/>
      <c r="E6" s="15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</row>
    <row r="7" spans="1:19" x14ac:dyDescent="0.3">
      <c r="A7" s="10"/>
      <c r="B7" s="11"/>
      <c r="C7" s="11"/>
      <c r="D7" s="11"/>
      <c r="E7" s="12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</row>
    <row r="8" spans="1:19" x14ac:dyDescent="0.3">
      <c r="A8" s="13"/>
      <c r="B8" s="14"/>
      <c r="C8" s="14"/>
      <c r="D8" s="14"/>
      <c r="E8" s="15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 spans="1:19" x14ac:dyDescent="0.3">
      <c r="A9" s="20"/>
      <c r="B9" s="21"/>
      <c r="C9" s="21"/>
      <c r="D9" s="11"/>
      <c r="E9" s="12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spans="1:19" x14ac:dyDescent="0.3">
      <c r="A10" s="13"/>
      <c r="B10" s="14"/>
      <c r="C10" s="14"/>
      <c r="D10" s="14"/>
      <c r="E10" s="15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 spans="1:19" x14ac:dyDescent="0.3">
      <c r="A11" s="10"/>
      <c r="B11" s="11"/>
      <c r="C11" s="11"/>
      <c r="D11" s="11"/>
      <c r="E11" s="12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spans="1:19" x14ac:dyDescent="0.3">
      <c r="A12" s="13"/>
      <c r="B12" s="14"/>
      <c r="C12" s="14"/>
      <c r="D12" s="14"/>
      <c r="E12" s="15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 spans="1:19" x14ac:dyDescent="0.3">
      <c r="A13" s="10"/>
      <c r="B13" s="11"/>
      <c r="C13" s="11"/>
      <c r="D13" s="11"/>
      <c r="E13" s="12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pans="1:19" x14ac:dyDescent="0.3">
      <c r="A14" s="13"/>
      <c r="B14" s="14"/>
      <c r="C14" s="14"/>
      <c r="D14" s="14"/>
      <c r="E14" s="15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</row>
    <row r="15" spans="1:19" x14ac:dyDescent="0.3">
      <c r="A15" s="20"/>
      <c r="B15" s="21"/>
      <c r="C15" s="21"/>
      <c r="D15" s="11"/>
      <c r="E15" s="12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pans="1:19" x14ac:dyDescent="0.3">
      <c r="A16" s="13"/>
      <c r="B16" s="14"/>
      <c r="C16" s="14"/>
      <c r="D16" s="14"/>
      <c r="E16" s="15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 spans="1:19" x14ac:dyDescent="0.3">
      <c r="A17" s="20"/>
      <c r="B17" s="21"/>
      <c r="C17" s="21"/>
      <c r="D17" s="11"/>
      <c r="E17" s="12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 spans="1:19" x14ac:dyDescent="0.3">
      <c r="A18" s="13"/>
      <c r="B18" s="14"/>
      <c r="C18" s="14"/>
      <c r="D18" s="14"/>
      <c r="E18" s="15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</row>
    <row r="19" spans="1:19" x14ac:dyDescent="0.3">
      <c r="A19" s="10"/>
      <c r="B19" s="11"/>
      <c r="C19" s="11"/>
      <c r="D19" s="11"/>
      <c r="E19" s="12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spans="1:19" x14ac:dyDescent="0.3">
      <c r="A20" s="13"/>
      <c r="B20" s="14"/>
      <c r="C20" s="14"/>
      <c r="D20" s="14"/>
      <c r="E20" s="15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</row>
    <row r="21" spans="1:19" x14ac:dyDescent="0.3">
      <c r="A21" s="10"/>
      <c r="B21" s="11"/>
      <c r="C21" s="11"/>
      <c r="D21" s="11"/>
      <c r="E21" s="12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 spans="1:19" x14ac:dyDescent="0.3">
      <c r="A22" s="13"/>
      <c r="B22" s="14"/>
      <c r="C22" s="14"/>
      <c r="D22" s="14"/>
      <c r="E22" s="15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</row>
    <row r="23" spans="1:19" x14ac:dyDescent="0.3">
      <c r="A23" s="10"/>
      <c r="B23" s="11"/>
      <c r="C23" s="11"/>
      <c r="D23" s="11"/>
      <c r="E23" s="12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</row>
    <row r="24" spans="1:19" x14ac:dyDescent="0.3">
      <c r="A24" s="13"/>
      <c r="B24" s="14"/>
      <c r="C24" s="14"/>
      <c r="D24" s="14"/>
      <c r="E24" s="15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FEB73-5BF8-439E-8DA3-5C3C6DE72758}">
  <sheetPr>
    <tabColor rgb="FFFFC000"/>
  </sheetPr>
  <dimension ref="A1:S24"/>
  <sheetViews>
    <sheetView topLeftCell="A8" workbookViewId="0">
      <selection activeCell="L25" sqref="L25"/>
    </sheetView>
  </sheetViews>
  <sheetFormatPr defaultRowHeight="14.4" x14ac:dyDescent="0.3"/>
  <cols>
    <col min="1" max="3" width="10.77734375" customWidth="1"/>
    <col min="4" max="4" width="11.44140625" customWidth="1"/>
    <col min="5" max="19" width="10.77734375" customWidth="1"/>
  </cols>
  <sheetData>
    <row r="1" spans="1:19" x14ac:dyDescent="0.3">
      <c r="A1" s="16" t="s">
        <v>0</v>
      </c>
      <c r="B1" s="16" t="s">
        <v>1</v>
      </c>
      <c r="C1" s="16"/>
      <c r="D1" s="16"/>
      <c r="E1" s="16" t="s">
        <v>2</v>
      </c>
      <c r="F1" s="16" t="s">
        <v>3</v>
      </c>
      <c r="G1" s="16">
        <v>3</v>
      </c>
      <c r="H1" s="16">
        <v>2</v>
      </c>
      <c r="I1" s="16">
        <v>1</v>
      </c>
      <c r="J1" s="16">
        <v>0</v>
      </c>
      <c r="K1" s="16" t="s">
        <v>4</v>
      </c>
      <c r="L1" s="16" t="s">
        <v>4</v>
      </c>
      <c r="M1" s="16"/>
      <c r="N1" s="16"/>
      <c r="O1" s="16" t="s">
        <v>124</v>
      </c>
      <c r="P1" s="16" t="s">
        <v>19</v>
      </c>
      <c r="Q1" s="16" t="s">
        <v>5</v>
      </c>
      <c r="R1" s="16" t="s">
        <v>6</v>
      </c>
      <c r="S1" s="16" t="s">
        <v>6</v>
      </c>
    </row>
    <row r="2" spans="1:19" x14ac:dyDescent="0.3">
      <c r="A2" s="13">
        <v>45934</v>
      </c>
      <c r="B2" s="14" t="s">
        <v>7</v>
      </c>
      <c r="C2" s="14" t="s">
        <v>109</v>
      </c>
      <c r="D2" s="14" t="s">
        <v>36</v>
      </c>
      <c r="E2" s="15" t="s">
        <v>16</v>
      </c>
      <c r="F2" s="14" t="s">
        <v>114</v>
      </c>
      <c r="G2" s="14"/>
      <c r="H2" s="14">
        <v>1</v>
      </c>
      <c r="I2" s="14"/>
      <c r="J2" s="14"/>
      <c r="K2" s="14">
        <v>50</v>
      </c>
      <c r="L2" s="14">
        <v>17</v>
      </c>
      <c r="M2" s="14"/>
      <c r="N2" s="17" t="s">
        <v>9</v>
      </c>
      <c r="O2" s="14">
        <f>SUM(H2:H24)</f>
        <v>10</v>
      </c>
      <c r="P2" s="14">
        <f>SUM(I10:I13)</f>
        <v>4</v>
      </c>
      <c r="Q2" s="14">
        <f>SUM(J2:J24)+I9</f>
        <v>9</v>
      </c>
      <c r="R2" s="14">
        <f>SUM(O2:Q2)</f>
        <v>23</v>
      </c>
      <c r="S2" s="14">
        <f>R2*2</f>
        <v>46</v>
      </c>
    </row>
    <row r="3" spans="1:19" x14ac:dyDescent="0.3">
      <c r="A3" s="20">
        <v>45934</v>
      </c>
      <c r="B3" s="12" t="s">
        <v>7</v>
      </c>
      <c r="C3" s="12" t="s">
        <v>109</v>
      </c>
      <c r="D3" s="12" t="s">
        <v>111</v>
      </c>
      <c r="E3" s="12" t="s">
        <v>16</v>
      </c>
      <c r="F3" s="11" t="s">
        <v>113</v>
      </c>
      <c r="G3" s="11"/>
      <c r="H3" s="11">
        <v>1</v>
      </c>
      <c r="I3" s="11"/>
      <c r="J3" s="11"/>
      <c r="K3" s="11">
        <v>50</v>
      </c>
      <c r="L3" s="11">
        <v>22</v>
      </c>
      <c r="M3" s="11"/>
      <c r="N3" s="18" t="s">
        <v>4</v>
      </c>
      <c r="O3" s="11">
        <f>SUM(H2:H24)*2+SUM(I2:I24)</f>
        <v>25</v>
      </c>
      <c r="P3" s="11"/>
      <c r="Q3" s="11">
        <f>SUM(J2:J24)*2+SUM(I10:I13)+H8+I9*2</f>
        <v>23</v>
      </c>
      <c r="R3" s="11">
        <f>SUM(O3:Q3)</f>
        <v>48</v>
      </c>
      <c r="S3" s="11"/>
    </row>
    <row r="4" spans="1:19" ht="28.8" x14ac:dyDescent="0.3">
      <c r="A4" s="13">
        <v>45934</v>
      </c>
      <c r="B4" s="14" t="s">
        <v>7</v>
      </c>
      <c r="C4" s="14" t="s">
        <v>109</v>
      </c>
      <c r="D4" s="14" t="s">
        <v>112</v>
      </c>
      <c r="E4" s="15" t="s">
        <v>13</v>
      </c>
      <c r="F4" s="14" t="s">
        <v>115</v>
      </c>
      <c r="G4" s="14"/>
      <c r="H4" s="14"/>
      <c r="I4" s="14"/>
      <c r="J4" s="14">
        <v>1</v>
      </c>
      <c r="K4" s="14">
        <v>56</v>
      </c>
      <c r="L4" s="14">
        <v>63</v>
      </c>
      <c r="M4" s="14"/>
      <c r="N4" s="17" t="s">
        <v>12</v>
      </c>
      <c r="O4" s="14">
        <f>SUM(K2:K24)</f>
        <v>1146</v>
      </c>
      <c r="P4" s="14"/>
      <c r="Q4" s="14">
        <f>SUM(L2:L24)</f>
        <v>1122</v>
      </c>
      <c r="R4" s="14">
        <f>SUM(O4:Q4)</f>
        <v>2268</v>
      </c>
      <c r="S4" s="14"/>
    </row>
    <row r="5" spans="1:19" x14ac:dyDescent="0.3">
      <c r="A5" s="10">
        <v>45955</v>
      </c>
      <c r="B5" s="11" t="s">
        <v>7</v>
      </c>
      <c r="C5" s="11" t="s">
        <v>109</v>
      </c>
      <c r="D5" s="11" t="s">
        <v>106</v>
      </c>
      <c r="E5" s="12" t="s">
        <v>16</v>
      </c>
      <c r="F5" s="11" t="s">
        <v>118</v>
      </c>
      <c r="G5" s="11"/>
      <c r="H5" s="11">
        <v>1</v>
      </c>
      <c r="I5" s="11"/>
      <c r="J5" s="11"/>
      <c r="K5" s="11">
        <v>50</v>
      </c>
      <c r="L5" s="11">
        <v>34</v>
      </c>
      <c r="M5" s="11"/>
      <c r="N5" s="11"/>
      <c r="O5" s="11"/>
      <c r="P5" s="11"/>
      <c r="Q5" s="11"/>
      <c r="R5" s="11"/>
      <c r="S5" s="11"/>
    </row>
    <row r="6" spans="1:19" ht="28.8" x14ac:dyDescent="0.3">
      <c r="A6" s="13">
        <v>46320</v>
      </c>
      <c r="B6" s="14" t="s">
        <v>7</v>
      </c>
      <c r="C6" s="14" t="s">
        <v>109</v>
      </c>
      <c r="D6" s="14" t="s">
        <v>116</v>
      </c>
      <c r="E6" s="15" t="s">
        <v>13</v>
      </c>
      <c r="F6" s="14" t="s">
        <v>119</v>
      </c>
      <c r="G6" s="14"/>
      <c r="H6" s="14"/>
      <c r="I6" s="14"/>
      <c r="J6" s="14">
        <v>1</v>
      </c>
      <c r="K6" s="14">
        <v>50</v>
      </c>
      <c r="L6" s="14">
        <v>61</v>
      </c>
      <c r="M6" s="14"/>
      <c r="N6" s="14"/>
      <c r="O6" s="14"/>
      <c r="P6" s="14"/>
      <c r="Q6" s="14"/>
      <c r="R6" s="14"/>
      <c r="S6" s="14"/>
    </row>
    <row r="7" spans="1:19" x14ac:dyDescent="0.3">
      <c r="A7" s="10">
        <v>45955</v>
      </c>
      <c r="B7" s="11" t="s">
        <v>7</v>
      </c>
      <c r="C7" s="11" t="s">
        <v>109</v>
      </c>
      <c r="D7" s="11" t="s">
        <v>117</v>
      </c>
      <c r="E7" s="12" t="s">
        <v>8</v>
      </c>
      <c r="F7" s="11" t="s">
        <v>120</v>
      </c>
      <c r="G7" s="11"/>
      <c r="H7" s="11"/>
      <c r="I7" s="11"/>
      <c r="J7" s="11">
        <v>1</v>
      </c>
      <c r="K7" s="11">
        <v>42</v>
      </c>
      <c r="L7" s="11">
        <v>50</v>
      </c>
      <c r="M7" s="11"/>
      <c r="N7" s="11"/>
      <c r="O7" s="11"/>
      <c r="P7" s="11"/>
      <c r="Q7" s="11"/>
      <c r="R7" s="11"/>
      <c r="S7" s="11"/>
    </row>
    <row r="8" spans="1:19" ht="28.8" x14ac:dyDescent="0.3">
      <c r="A8" s="13">
        <v>45976</v>
      </c>
      <c r="B8" s="14" t="s">
        <v>7</v>
      </c>
      <c r="C8" s="14" t="s">
        <v>109</v>
      </c>
      <c r="D8" s="14" t="s">
        <v>106</v>
      </c>
      <c r="E8" s="15" t="s">
        <v>10</v>
      </c>
      <c r="F8" s="14" t="s">
        <v>121</v>
      </c>
      <c r="G8" s="14"/>
      <c r="H8" s="14">
        <v>1</v>
      </c>
      <c r="I8" s="14"/>
      <c r="J8" s="14"/>
      <c r="K8" s="14">
        <v>73</v>
      </c>
      <c r="L8" s="14">
        <v>61</v>
      </c>
      <c r="M8" s="14"/>
      <c r="N8" s="14"/>
      <c r="O8" s="14"/>
      <c r="P8" s="14"/>
      <c r="Q8" s="14"/>
      <c r="R8" s="14"/>
      <c r="S8" s="14"/>
    </row>
    <row r="9" spans="1:19" ht="28.8" x14ac:dyDescent="0.3">
      <c r="A9" s="20">
        <v>45976</v>
      </c>
      <c r="B9" s="21" t="s">
        <v>7</v>
      </c>
      <c r="C9" s="21" t="s">
        <v>109</v>
      </c>
      <c r="D9" s="11" t="s">
        <v>122</v>
      </c>
      <c r="E9" s="12" t="s">
        <v>13</v>
      </c>
      <c r="F9" s="11" t="s">
        <v>123</v>
      </c>
      <c r="G9" s="11"/>
      <c r="H9" s="11"/>
      <c r="I9" s="11">
        <v>1</v>
      </c>
      <c r="J9" s="11"/>
      <c r="K9" s="11">
        <v>40</v>
      </c>
      <c r="L9" s="11">
        <v>69</v>
      </c>
      <c r="M9" s="11"/>
      <c r="N9" s="11"/>
      <c r="O9" s="11"/>
      <c r="P9" s="11"/>
      <c r="Q9" s="11"/>
      <c r="R9" s="11"/>
      <c r="S9" s="11"/>
    </row>
    <row r="10" spans="1:19" x14ac:dyDescent="0.3">
      <c r="A10" s="13">
        <v>45997</v>
      </c>
      <c r="B10" s="14" t="s">
        <v>7</v>
      </c>
      <c r="C10" s="14" t="s">
        <v>109</v>
      </c>
      <c r="D10" s="14" t="s">
        <v>92</v>
      </c>
      <c r="E10" s="15" t="s">
        <v>38</v>
      </c>
      <c r="F10" s="14" t="s">
        <v>127</v>
      </c>
      <c r="G10" s="14"/>
      <c r="H10" s="14"/>
      <c r="I10" s="14">
        <v>1</v>
      </c>
      <c r="J10" s="14"/>
      <c r="K10" s="14">
        <v>49</v>
      </c>
      <c r="L10" s="14">
        <v>45</v>
      </c>
      <c r="M10" s="14"/>
      <c r="N10" s="14"/>
      <c r="O10" s="14"/>
      <c r="P10" s="14"/>
      <c r="Q10" s="14"/>
      <c r="R10" s="14"/>
      <c r="S10" s="14"/>
    </row>
    <row r="11" spans="1:19" x14ac:dyDescent="0.3">
      <c r="A11" s="10">
        <v>45997</v>
      </c>
      <c r="B11" s="11" t="s">
        <v>7</v>
      </c>
      <c r="C11" s="11" t="s">
        <v>109</v>
      </c>
      <c r="D11" s="11" t="s">
        <v>125</v>
      </c>
      <c r="E11" s="12" t="s">
        <v>38</v>
      </c>
      <c r="F11" s="11" t="s">
        <v>128</v>
      </c>
      <c r="G11" s="11"/>
      <c r="H11" s="11"/>
      <c r="I11" s="11">
        <v>1</v>
      </c>
      <c r="J11" s="11"/>
      <c r="K11" s="11">
        <v>45</v>
      </c>
      <c r="L11" s="11">
        <v>45</v>
      </c>
      <c r="M11" s="11"/>
      <c r="N11" s="11"/>
      <c r="O11" s="11"/>
      <c r="P11" s="11"/>
      <c r="Q11" s="11"/>
      <c r="R11" s="11"/>
      <c r="S11" s="11"/>
    </row>
    <row r="12" spans="1:19" ht="28.8" x14ac:dyDescent="0.3">
      <c r="A12" s="13">
        <v>45997</v>
      </c>
      <c r="B12" s="14" t="s">
        <v>7</v>
      </c>
      <c r="C12" s="14" t="s">
        <v>109</v>
      </c>
      <c r="D12" s="14" t="s">
        <v>126</v>
      </c>
      <c r="E12" s="15" t="s">
        <v>38</v>
      </c>
      <c r="F12" s="14" t="s">
        <v>129</v>
      </c>
      <c r="G12" s="14"/>
      <c r="H12" s="14"/>
      <c r="I12" s="14">
        <v>1</v>
      </c>
      <c r="J12" s="14"/>
      <c r="K12" s="14">
        <v>47</v>
      </c>
      <c r="L12" s="14">
        <v>43</v>
      </c>
      <c r="M12" s="14"/>
      <c r="N12" s="14"/>
      <c r="O12" s="14"/>
      <c r="P12" s="14"/>
      <c r="Q12" s="14"/>
      <c r="R12" s="14"/>
      <c r="S12" s="14"/>
    </row>
    <row r="13" spans="1:19" x14ac:dyDescent="0.3">
      <c r="A13" s="10">
        <v>45997</v>
      </c>
      <c r="B13" s="11" t="s">
        <v>7</v>
      </c>
      <c r="C13" s="11" t="s">
        <v>109</v>
      </c>
      <c r="D13" s="11" t="s">
        <v>112</v>
      </c>
      <c r="E13" s="12" t="s">
        <v>38</v>
      </c>
      <c r="F13" s="11" t="s">
        <v>130</v>
      </c>
      <c r="G13" s="11"/>
      <c r="H13" s="11"/>
      <c r="I13" s="11">
        <v>1</v>
      </c>
      <c r="J13" s="11"/>
      <c r="K13" s="11">
        <v>40</v>
      </c>
      <c r="L13" s="11">
        <v>44</v>
      </c>
      <c r="M13" s="11"/>
      <c r="N13" s="11"/>
      <c r="O13" s="11"/>
      <c r="P13" s="11"/>
      <c r="Q13" s="11"/>
      <c r="R13" s="11"/>
      <c r="S13" s="11"/>
    </row>
    <row r="14" spans="1:19" ht="28.8" x14ac:dyDescent="0.3">
      <c r="A14" s="13">
        <v>45308</v>
      </c>
      <c r="B14" s="14" t="s">
        <v>7</v>
      </c>
      <c r="C14" s="14" t="s">
        <v>109</v>
      </c>
      <c r="D14" s="14" t="s">
        <v>106</v>
      </c>
      <c r="E14" s="15" t="s">
        <v>10</v>
      </c>
      <c r="F14" s="14" t="s">
        <v>131</v>
      </c>
      <c r="G14" s="14"/>
      <c r="H14" s="14">
        <v>1</v>
      </c>
      <c r="I14" s="14"/>
      <c r="J14" s="14"/>
      <c r="K14" s="14">
        <v>69</v>
      </c>
      <c r="L14" s="14">
        <v>56</v>
      </c>
      <c r="M14" s="14"/>
      <c r="N14" s="14"/>
      <c r="O14" s="14"/>
      <c r="P14" s="14"/>
      <c r="Q14" s="14"/>
      <c r="R14" s="14"/>
      <c r="S14" s="14"/>
    </row>
    <row r="15" spans="1:19" ht="28.8" x14ac:dyDescent="0.3">
      <c r="A15" s="20">
        <v>45674</v>
      </c>
      <c r="B15" s="21" t="s">
        <v>7</v>
      </c>
      <c r="C15" s="21" t="s">
        <v>109</v>
      </c>
      <c r="D15" s="11" t="s">
        <v>122</v>
      </c>
      <c r="E15" s="12" t="s">
        <v>10</v>
      </c>
      <c r="F15" s="11" t="s">
        <v>132</v>
      </c>
      <c r="G15" s="11"/>
      <c r="H15" s="11">
        <v>1</v>
      </c>
      <c r="I15" s="11"/>
      <c r="J15" s="11"/>
      <c r="K15" s="11">
        <v>68</v>
      </c>
      <c r="L15" s="11">
        <v>66</v>
      </c>
      <c r="M15" s="11"/>
      <c r="N15" s="11"/>
      <c r="O15" s="11"/>
      <c r="P15" s="11"/>
      <c r="Q15" s="11"/>
      <c r="R15" s="11"/>
      <c r="S15" s="11"/>
    </row>
    <row r="16" spans="1:19" ht="28.8" x14ac:dyDescent="0.3">
      <c r="A16" s="13">
        <v>46060</v>
      </c>
      <c r="B16" s="14" t="s">
        <v>7</v>
      </c>
      <c r="C16" s="14" t="s">
        <v>109</v>
      </c>
      <c r="D16" s="14" t="s">
        <v>116</v>
      </c>
      <c r="E16" s="15" t="s">
        <v>10</v>
      </c>
      <c r="F16" s="14" t="s">
        <v>135</v>
      </c>
      <c r="G16" s="14"/>
      <c r="H16" s="14">
        <v>1</v>
      </c>
      <c r="I16" s="14"/>
      <c r="J16" s="14"/>
      <c r="K16" s="14">
        <v>61</v>
      </c>
      <c r="L16" s="14">
        <v>62</v>
      </c>
      <c r="M16" s="14"/>
      <c r="N16" s="14"/>
      <c r="O16" s="14"/>
      <c r="P16" s="14"/>
      <c r="Q16" s="14"/>
      <c r="R16" s="14"/>
      <c r="S16" s="14"/>
    </row>
    <row r="17" spans="1:19" ht="28.8" x14ac:dyDescent="0.3">
      <c r="A17" s="20">
        <v>46060</v>
      </c>
      <c r="B17" s="21" t="s">
        <v>7</v>
      </c>
      <c r="C17" s="21" t="s">
        <v>109</v>
      </c>
      <c r="D17" s="11" t="s">
        <v>83</v>
      </c>
      <c r="E17" s="12" t="s">
        <v>13</v>
      </c>
      <c r="F17" s="11" t="s">
        <v>134</v>
      </c>
      <c r="G17" s="11"/>
      <c r="H17" s="11"/>
      <c r="I17" s="11"/>
      <c r="J17" s="11">
        <v>1</v>
      </c>
      <c r="K17" s="11">
        <v>60</v>
      </c>
      <c r="L17" s="11">
        <v>63</v>
      </c>
      <c r="M17" s="11"/>
      <c r="N17" s="11"/>
      <c r="O17" s="11"/>
      <c r="P17" s="11"/>
      <c r="Q17" s="11"/>
      <c r="R17" s="11"/>
      <c r="S17" s="11"/>
    </row>
    <row r="18" spans="1:19" ht="28.8" x14ac:dyDescent="0.3">
      <c r="A18" s="13">
        <v>46060</v>
      </c>
      <c r="B18" s="14" t="s">
        <v>7</v>
      </c>
      <c r="C18" s="14" t="s">
        <v>109</v>
      </c>
      <c r="D18" s="14" t="s">
        <v>106</v>
      </c>
      <c r="E18" s="15" t="s">
        <v>16</v>
      </c>
      <c r="F18" s="14" t="s">
        <v>133</v>
      </c>
      <c r="G18" s="14"/>
      <c r="H18" s="14">
        <v>1</v>
      </c>
      <c r="I18" s="14"/>
      <c r="J18" s="14"/>
      <c r="K18" s="14">
        <v>50</v>
      </c>
      <c r="L18" s="14">
        <v>36</v>
      </c>
      <c r="M18" s="14"/>
      <c r="N18" s="14"/>
      <c r="O18" s="14"/>
      <c r="P18" s="14"/>
      <c r="Q18" s="14"/>
      <c r="R18" s="14"/>
      <c r="S18" s="14"/>
    </row>
    <row r="19" spans="1:19" x14ac:dyDescent="0.3">
      <c r="A19" s="10">
        <v>46109</v>
      </c>
      <c r="B19" s="11" t="s">
        <v>7</v>
      </c>
      <c r="C19" s="11" t="s">
        <v>109</v>
      </c>
      <c r="D19" s="11" t="s">
        <v>117</v>
      </c>
      <c r="E19" s="12" t="s">
        <v>8</v>
      </c>
      <c r="F19" s="11" t="s">
        <v>138</v>
      </c>
      <c r="G19" s="11"/>
      <c r="H19" s="11"/>
      <c r="I19" s="11"/>
      <c r="J19" s="11">
        <v>1</v>
      </c>
      <c r="K19" s="11">
        <v>36</v>
      </c>
      <c r="L19" s="11">
        <v>50</v>
      </c>
      <c r="M19" s="11"/>
      <c r="N19" s="11"/>
      <c r="O19" s="11"/>
      <c r="P19" s="11"/>
      <c r="Q19" s="11"/>
      <c r="R19" s="11"/>
      <c r="S19" s="11"/>
    </row>
    <row r="20" spans="1:19" x14ac:dyDescent="0.3">
      <c r="A20" s="13">
        <v>45744</v>
      </c>
      <c r="B20" s="14" t="s">
        <v>7</v>
      </c>
      <c r="C20" s="14" t="s">
        <v>109</v>
      </c>
      <c r="D20" s="14" t="s">
        <v>136</v>
      </c>
      <c r="E20" s="15" t="s">
        <v>8</v>
      </c>
      <c r="F20" s="14" t="s">
        <v>139</v>
      </c>
      <c r="G20" s="14"/>
      <c r="H20" s="14"/>
      <c r="I20" s="14"/>
      <c r="J20" s="14">
        <v>1</v>
      </c>
      <c r="K20" s="14">
        <v>19</v>
      </c>
      <c r="L20" s="14">
        <v>50</v>
      </c>
      <c r="M20" s="14"/>
      <c r="N20" s="14"/>
      <c r="O20" s="14"/>
      <c r="P20" s="14"/>
      <c r="Q20" s="14"/>
      <c r="R20" s="14"/>
      <c r="S20" s="14"/>
    </row>
    <row r="21" spans="1:19" x14ac:dyDescent="0.3">
      <c r="A21" s="10">
        <v>46109</v>
      </c>
      <c r="B21" s="11" t="s">
        <v>7</v>
      </c>
      <c r="C21" s="11" t="s">
        <v>109</v>
      </c>
      <c r="D21" s="11" t="s">
        <v>137</v>
      </c>
      <c r="E21" s="12" t="s">
        <v>8</v>
      </c>
      <c r="F21" s="11" t="s">
        <v>103</v>
      </c>
      <c r="G21" s="11"/>
      <c r="H21" s="11"/>
      <c r="I21" s="11"/>
      <c r="J21" s="11">
        <v>1</v>
      </c>
      <c r="K21" s="11">
        <v>33</v>
      </c>
      <c r="L21" s="11">
        <v>50</v>
      </c>
      <c r="M21" s="11"/>
      <c r="N21" s="11"/>
      <c r="O21" s="11"/>
      <c r="P21" s="11"/>
      <c r="Q21" s="11"/>
      <c r="R21" s="11"/>
      <c r="S21" s="11"/>
    </row>
    <row r="22" spans="1:19" x14ac:dyDescent="0.3">
      <c r="A22" s="13">
        <v>46137</v>
      </c>
      <c r="B22" s="14" t="s">
        <v>7</v>
      </c>
      <c r="C22" s="14" t="s">
        <v>109</v>
      </c>
      <c r="D22" s="14" t="s">
        <v>140</v>
      </c>
      <c r="E22" s="15" t="s">
        <v>8</v>
      </c>
      <c r="F22" s="14" t="s">
        <v>141</v>
      </c>
      <c r="G22" s="14"/>
      <c r="H22" s="14"/>
      <c r="I22" s="14"/>
      <c r="J22" s="14">
        <v>1</v>
      </c>
      <c r="K22" s="14">
        <v>47</v>
      </c>
      <c r="L22" s="14">
        <v>51</v>
      </c>
      <c r="M22" s="14"/>
      <c r="N22" s="14"/>
      <c r="O22" s="14"/>
      <c r="P22" s="14"/>
      <c r="Q22" s="14"/>
      <c r="R22" s="14"/>
      <c r="S22" s="14"/>
    </row>
    <row r="23" spans="1:19" x14ac:dyDescent="0.3">
      <c r="A23" s="10">
        <v>46137</v>
      </c>
      <c r="B23" s="11" t="s">
        <v>7</v>
      </c>
      <c r="C23" s="11" t="s">
        <v>109</v>
      </c>
      <c r="D23" s="11" t="s">
        <v>126</v>
      </c>
      <c r="E23" s="12" t="s">
        <v>16</v>
      </c>
      <c r="F23" s="11" t="s">
        <v>142</v>
      </c>
      <c r="G23" s="11"/>
      <c r="H23" s="11">
        <v>1</v>
      </c>
      <c r="I23" s="11"/>
      <c r="J23" s="11"/>
      <c r="K23" s="11">
        <v>50</v>
      </c>
      <c r="L23" s="11">
        <v>27</v>
      </c>
      <c r="M23" s="11"/>
      <c r="N23" s="11"/>
      <c r="O23" s="11"/>
      <c r="P23" s="11"/>
      <c r="Q23" s="11"/>
      <c r="R23" s="11"/>
      <c r="S23" s="11"/>
    </row>
    <row r="24" spans="1:19" ht="28.8" x14ac:dyDescent="0.3">
      <c r="A24" s="13">
        <v>46137</v>
      </c>
      <c r="B24" s="14" t="s">
        <v>7</v>
      </c>
      <c r="C24" s="14" t="s">
        <v>109</v>
      </c>
      <c r="D24" s="14" t="s">
        <v>116</v>
      </c>
      <c r="E24" s="15" t="s">
        <v>10</v>
      </c>
      <c r="F24" s="14" t="s">
        <v>143</v>
      </c>
      <c r="G24" s="14"/>
      <c r="H24" s="14">
        <v>1</v>
      </c>
      <c r="I24" s="14"/>
      <c r="J24" s="14"/>
      <c r="K24" s="14">
        <v>61</v>
      </c>
      <c r="L24" s="14">
        <v>57</v>
      </c>
      <c r="M24" s="14"/>
      <c r="N24" s="14"/>
      <c r="O24" s="14"/>
      <c r="P24" s="14"/>
      <c r="Q24" s="14"/>
      <c r="R24" s="14"/>
      <c r="S24" s="14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38555-4C3B-4F48-AD20-7BBDECE7FD0C}">
  <sheetPr>
    <tabColor rgb="FF92D050"/>
  </sheetPr>
  <dimension ref="A1:Q29"/>
  <sheetViews>
    <sheetView topLeftCell="A4" workbookViewId="0">
      <selection activeCell="R1" sqref="R1:R1048576"/>
    </sheetView>
  </sheetViews>
  <sheetFormatPr defaultRowHeight="14.4" x14ac:dyDescent="0.3"/>
  <cols>
    <col min="1" max="17" width="10.77734375" customWidth="1"/>
  </cols>
  <sheetData>
    <row r="1" spans="1:17" x14ac:dyDescent="0.3">
      <c r="A1" s="16" t="s">
        <v>0</v>
      </c>
      <c r="B1" s="16" t="s">
        <v>1</v>
      </c>
      <c r="C1" s="16"/>
      <c r="D1" s="16"/>
      <c r="E1" s="16" t="s">
        <v>2</v>
      </c>
      <c r="F1" s="16" t="s">
        <v>3</v>
      </c>
      <c r="G1" s="16">
        <v>2</v>
      </c>
      <c r="H1" s="16">
        <v>1</v>
      </c>
      <c r="I1" s="16">
        <v>0</v>
      </c>
      <c r="J1" s="16" t="s">
        <v>4</v>
      </c>
      <c r="K1" s="16" t="s">
        <v>4</v>
      </c>
      <c r="L1" s="16"/>
      <c r="M1" s="16"/>
      <c r="N1" s="16" t="s">
        <v>80</v>
      </c>
      <c r="O1" s="16" t="s">
        <v>19</v>
      </c>
      <c r="P1" s="16" t="s">
        <v>5</v>
      </c>
      <c r="Q1" s="16" t="s">
        <v>6</v>
      </c>
    </row>
    <row r="2" spans="1:17" x14ac:dyDescent="0.3">
      <c r="A2" s="13">
        <v>45577</v>
      </c>
      <c r="B2" s="14" t="s">
        <v>7</v>
      </c>
      <c r="C2" s="14" t="s">
        <v>20</v>
      </c>
      <c r="D2" s="14" t="s">
        <v>76</v>
      </c>
      <c r="E2" s="15" t="s">
        <v>8</v>
      </c>
      <c r="F2" s="14" t="s">
        <v>79</v>
      </c>
      <c r="G2" s="14"/>
      <c r="H2" s="14"/>
      <c r="I2" s="14">
        <v>1</v>
      </c>
      <c r="J2" s="14">
        <v>28</v>
      </c>
      <c r="K2" s="14">
        <v>50</v>
      </c>
      <c r="L2" s="14"/>
      <c r="M2" s="17" t="s">
        <v>9</v>
      </c>
      <c r="N2" s="14">
        <f>SUM(G2:G29)</f>
        <v>8</v>
      </c>
      <c r="O2" s="14">
        <f>SUM(H2:H29)</f>
        <v>0</v>
      </c>
      <c r="P2" s="14">
        <f>SUM(I2:I29)</f>
        <v>15</v>
      </c>
      <c r="Q2" s="14">
        <f>SUM(N2:P2)</f>
        <v>23</v>
      </c>
    </row>
    <row r="3" spans="1:17" x14ac:dyDescent="0.3">
      <c r="A3" s="10">
        <v>45577</v>
      </c>
      <c r="B3" s="11" t="s">
        <v>7</v>
      </c>
      <c r="C3" s="11" t="s">
        <v>20</v>
      </c>
      <c r="D3" s="11" t="s">
        <v>44</v>
      </c>
      <c r="E3" s="12" t="s">
        <v>8</v>
      </c>
      <c r="F3" s="11" t="s">
        <v>78</v>
      </c>
      <c r="G3" s="11"/>
      <c r="H3" s="11"/>
      <c r="I3" s="11">
        <v>1</v>
      </c>
      <c r="J3" s="11">
        <v>44</v>
      </c>
      <c r="K3" s="11">
        <v>50</v>
      </c>
      <c r="L3" s="11"/>
      <c r="M3" s="18" t="s">
        <v>4</v>
      </c>
      <c r="N3" s="11">
        <f>SUM(G2:G29)*2+SUM(H2:H29)</f>
        <v>16</v>
      </c>
      <c r="O3" s="11"/>
      <c r="P3" s="11">
        <f>SUM(I2:I29)*2+SUM(H2:H29)</f>
        <v>30</v>
      </c>
      <c r="Q3" s="11">
        <f>SUM(N3:P3)</f>
        <v>46</v>
      </c>
    </row>
    <row r="4" spans="1:17" x14ac:dyDescent="0.3">
      <c r="A4" s="13">
        <v>45577</v>
      </c>
      <c r="B4" s="14" t="s">
        <v>7</v>
      </c>
      <c r="C4" s="14" t="s">
        <v>20</v>
      </c>
      <c r="D4" s="14" t="s">
        <v>37</v>
      </c>
      <c r="E4" s="15" t="s">
        <v>8</v>
      </c>
      <c r="F4" s="14" t="s">
        <v>77</v>
      </c>
      <c r="G4" s="14"/>
      <c r="H4" s="14"/>
      <c r="I4" s="14">
        <v>1</v>
      </c>
      <c r="J4" s="14">
        <v>44</v>
      </c>
      <c r="K4" s="14">
        <v>51</v>
      </c>
      <c r="L4" s="14"/>
      <c r="M4" s="17" t="s">
        <v>12</v>
      </c>
      <c r="N4" s="14">
        <f>SUM(J2:J24)</f>
        <v>1050</v>
      </c>
      <c r="O4" s="14"/>
      <c r="P4" s="14">
        <f>SUM(K2:K24)</f>
        <v>1147</v>
      </c>
      <c r="Q4" s="14">
        <f>SUM(N4:P4)</f>
        <v>2197</v>
      </c>
    </row>
    <row r="5" spans="1:17" ht="28.8" x14ac:dyDescent="0.3">
      <c r="A5" s="10">
        <v>45591</v>
      </c>
      <c r="B5" s="11" t="s">
        <v>7</v>
      </c>
      <c r="C5" s="11" t="s">
        <v>20</v>
      </c>
      <c r="D5" s="11" t="s">
        <v>81</v>
      </c>
      <c r="E5" s="11" t="s">
        <v>8</v>
      </c>
      <c r="F5" s="11" t="s">
        <v>84</v>
      </c>
      <c r="G5" s="11"/>
      <c r="H5" s="11"/>
      <c r="I5" s="11">
        <v>1</v>
      </c>
      <c r="J5" s="11">
        <v>31</v>
      </c>
      <c r="K5" s="11">
        <v>50</v>
      </c>
      <c r="L5" s="11"/>
      <c r="M5" s="11"/>
      <c r="N5" s="11"/>
      <c r="O5" s="11"/>
      <c r="P5" s="11"/>
      <c r="Q5" s="11"/>
    </row>
    <row r="6" spans="1:17" ht="28.8" x14ac:dyDescent="0.3">
      <c r="A6" s="13">
        <v>45591</v>
      </c>
      <c r="B6" s="14" t="s">
        <v>7</v>
      </c>
      <c r="C6" s="14" t="s">
        <v>20</v>
      </c>
      <c r="D6" s="14" t="s">
        <v>82</v>
      </c>
      <c r="E6" s="15" t="s">
        <v>13</v>
      </c>
      <c r="F6" s="14" t="s">
        <v>85</v>
      </c>
      <c r="G6" s="14"/>
      <c r="H6" s="14"/>
      <c r="I6" s="14">
        <v>1</v>
      </c>
      <c r="J6" s="14">
        <v>51</v>
      </c>
      <c r="K6" s="14">
        <v>59</v>
      </c>
      <c r="L6" s="14"/>
      <c r="M6" s="14"/>
      <c r="N6" s="14"/>
      <c r="O6" s="14"/>
      <c r="P6" s="14"/>
      <c r="Q6" s="14"/>
    </row>
    <row r="7" spans="1:17" x14ac:dyDescent="0.3">
      <c r="A7" s="10">
        <v>45591</v>
      </c>
      <c r="B7" s="11" t="s">
        <v>7</v>
      </c>
      <c r="C7" s="11" t="s">
        <v>20</v>
      </c>
      <c r="D7" s="11" t="s">
        <v>83</v>
      </c>
      <c r="E7" s="11" t="s">
        <v>16</v>
      </c>
      <c r="F7" s="11" t="s">
        <v>86</v>
      </c>
      <c r="G7" s="11">
        <v>1</v>
      </c>
      <c r="H7" s="11"/>
      <c r="I7" s="11"/>
      <c r="J7" s="11">
        <v>50</v>
      </c>
      <c r="K7" s="11">
        <v>31</v>
      </c>
      <c r="L7" s="11"/>
      <c r="M7" s="11"/>
      <c r="N7" s="11"/>
      <c r="O7" s="11"/>
      <c r="P7" s="11"/>
      <c r="Q7" s="11"/>
    </row>
    <row r="8" spans="1:17" x14ac:dyDescent="0.3">
      <c r="A8" s="13">
        <v>45612</v>
      </c>
      <c r="B8" s="14" t="s">
        <v>7</v>
      </c>
      <c r="C8" s="14" t="s">
        <v>20</v>
      </c>
      <c r="D8" s="14" t="s">
        <v>87</v>
      </c>
      <c r="E8" s="14" t="s">
        <v>8</v>
      </c>
      <c r="F8" s="14" t="s">
        <v>88</v>
      </c>
      <c r="G8" s="14"/>
      <c r="H8" s="14"/>
      <c r="I8" s="14">
        <v>1</v>
      </c>
      <c r="J8" s="14">
        <v>29</v>
      </c>
      <c r="K8" s="14">
        <v>50</v>
      </c>
      <c r="L8" s="14"/>
      <c r="M8" s="14"/>
      <c r="N8" s="14"/>
      <c r="O8" s="14"/>
      <c r="P8" s="14"/>
      <c r="Q8" s="14"/>
    </row>
    <row r="9" spans="1:17" x14ac:dyDescent="0.3">
      <c r="A9" s="10">
        <v>45612</v>
      </c>
      <c r="B9" s="11" t="s">
        <v>7</v>
      </c>
      <c r="C9" s="11" t="s">
        <v>20</v>
      </c>
      <c r="D9" s="11" t="s">
        <v>89</v>
      </c>
      <c r="E9" s="12" t="s">
        <v>16</v>
      </c>
      <c r="F9" s="11" t="s">
        <v>90</v>
      </c>
      <c r="G9" s="11">
        <v>1</v>
      </c>
      <c r="H9" s="11"/>
      <c r="I9" s="11"/>
      <c r="J9" s="11">
        <v>55</v>
      </c>
      <c r="K9" s="11">
        <v>51</v>
      </c>
      <c r="L9" s="11"/>
      <c r="M9" s="11"/>
      <c r="N9" s="11"/>
      <c r="O9" s="11"/>
      <c r="P9" s="11"/>
      <c r="Q9" s="11"/>
    </row>
    <row r="10" spans="1:17" x14ac:dyDescent="0.3">
      <c r="A10" s="13">
        <v>45612</v>
      </c>
      <c r="B10" s="14" t="s">
        <v>7</v>
      </c>
      <c r="C10" s="14" t="s">
        <v>20</v>
      </c>
      <c r="D10" s="14" t="s">
        <v>44</v>
      </c>
      <c r="E10" s="14" t="s">
        <v>8</v>
      </c>
      <c r="F10" s="14" t="s">
        <v>91</v>
      </c>
      <c r="G10" s="14"/>
      <c r="H10" s="14"/>
      <c r="I10" s="14">
        <v>1</v>
      </c>
      <c r="J10" s="14">
        <v>30</v>
      </c>
      <c r="K10" s="14">
        <v>50</v>
      </c>
      <c r="L10" s="14"/>
      <c r="M10" s="14"/>
      <c r="N10" s="14"/>
      <c r="O10" s="14"/>
      <c r="P10" s="14"/>
      <c r="Q10" s="14"/>
    </row>
    <row r="11" spans="1:17" x14ac:dyDescent="0.3">
      <c r="A11" s="10">
        <v>45633</v>
      </c>
      <c r="B11" s="11" t="s">
        <v>7</v>
      </c>
      <c r="C11" s="11" t="s">
        <v>20</v>
      </c>
      <c r="D11" s="11" t="s">
        <v>92</v>
      </c>
      <c r="E11" s="12" t="s">
        <v>16</v>
      </c>
      <c r="F11" s="11" t="s">
        <v>94</v>
      </c>
      <c r="G11" s="11">
        <v>1</v>
      </c>
      <c r="H11" s="11"/>
      <c r="I11" s="11"/>
      <c r="J11" s="11">
        <v>51</v>
      </c>
      <c r="K11" s="11">
        <v>39</v>
      </c>
      <c r="L11" s="11"/>
      <c r="M11" s="11"/>
      <c r="N11" s="11"/>
      <c r="O11" s="11"/>
      <c r="P11" s="11"/>
      <c r="Q11" s="11"/>
    </row>
    <row r="12" spans="1:17" x14ac:dyDescent="0.3">
      <c r="A12" s="13">
        <v>45633</v>
      </c>
      <c r="B12" s="14" t="s">
        <v>7</v>
      </c>
      <c r="C12" s="14" t="s">
        <v>20</v>
      </c>
      <c r="D12" s="14" t="s">
        <v>89</v>
      </c>
      <c r="E12" s="14" t="s">
        <v>16</v>
      </c>
      <c r="F12" s="14" t="s">
        <v>95</v>
      </c>
      <c r="G12" s="14">
        <v>1</v>
      </c>
      <c r="H12" s="14"/>
      <c r="I12" s="14"/>
      <c r="J12" s="14">
        <v>50</v>
      </c>
      <c r="K12" s="14">
        <v>34</v>
      </c>
      <c r="L12" s="14"/>
      <c r="M12" s="14"/>
      <c r="N12" s="14"/>
      <c r="O12" s="14"/>
      <c r="P12" s="14"/>
      <c r="Q12" s="14"/>
    </row>
    <row r="13" spans="1:17" ht="28.8" x14ac:dyDescent="0.3">
      <c r="A13" s="10">
        <v>45633</v>
      </c>
      <c r="B13" s="11" t="s">
        <v>7</v>
      </c>
      <c r="C13" s="11" t="s">
        <v>20</v>
      </c>
      <c r="D13" s="11" t="s">
        <v>93</v>
      </c>
      <c r="E13" s="12" t="s">
        <v>10</v>
      </c>
      <c r="F13" s="11" t="s">
        <v>96</v>
      </c>
      <c r="G13" s="11">
        <v>1</v>
      </c>
      <c r="H13" s="11"/>
      <c r="I13" s="11"/>
      <c r="J13" s="11">
        <v>58</v>
      </c>
      <c r="K13" s="11">
        <v>48</v>
      </c>
      <c r="L13" s="11"/>
      <c r="M13" s="11"/>
      <c r="N13" s="11"/>
      <c r="O13" s="11"/>
      <c r="P13" s="11"/>
      <c r="Q13" s="11"/>
    </row>
    <row r="14" spans="1:17" ht="28.8" x14ac:dyDescent="0.3">
      <c r="A14" s="13">
        <v>45676</v>
      </c>
      <c r="B14" s="14" t="s">
        <v>15</v>
      </c>
      <c r="C14" s="14" t="s">
        <v>20</v>
      </c>
      <c r="D14" s="14" t="s">
        <v>92</v>
      </c>
      <c r="E14" s="15" t="s">
        <v>10</v>
      </c>
      <c r="F14" s="14" t="s">
        <v>99</v>
      </c>
      <c r="G14" s="14">
        <v>1</v>
      </c>
      <c r="H14" s="14"/>
      <c r="I14" s="14"/>
      <c r="J14" s="14">
        <v>64</v>
      </c>
      <c r="K14" s="14">
        <v>56</v>
      </c>
      <c r="L14" s="14"/>
      <c r="M14" s="14"/>
      <c r="N14" s="14"/>
      <c r="O14" s="14"/>
      <c r="P14" s="14"/>
      <c r="Q14" s="14"/>
    </row>
    <row r="15" spans="1:17" ht="28.8" x14ac:dyDescent="0.3">
      <c r="A15" s="10">
        <v>45676</v>
      </c>
      <c r="B15" s="11" t="s">
        <v>15</v>
      </c>
      <c r="C15" s="11" t="s">
        <v>20</v>
      </c>
      <c r="D15" s="11" t="s">
        <v>44</v>
      </c>
      <c r="E15" s="11" t="s">
        <v>8</v>
      </c>
      <c r="F15" s="11" t="s">
        <v>98</v>
      </c>
      <c r="G15" s="11"/>
      <c r="H15" s="11"/>
      <c r="I15" s="11">
        <v>1</v>
      </c>
      <c r="J15" s="11">
        <v>42</v>
      </c>
      <c r="K15" s="11">
        <v>50</v>
      </c>
      <c r="L15" s="11"/>
      <c r="M15" s="11"/>
      <c r="N15" s="11"/>
      <c r="O15" s="11"/>
      <c r="P15" s="11"/>
      <c r="Q15" s="11"/>
    </row>
    <row r="16" spans="1:17" x14ac:dyDescent="0.3">
      <c r="A16" s="13">
        <v>45676</v>
      </c>
      <c r="B16" s="14" t="s">
        <v>15</v>
      </c>
      <c r="C16" s="14" t="s">
        <v>20</v>
      </c>
      <c r="D16" s="14" t="s">
        <v>37</v>
      </c>
      <c r="E16" s="14" t="s">
        <v>8</v>
      </c>
      <c r="F16" s="14" t="s">
        <v>97</v>
      </c>
      <c r="G16" s="14"/>
      <c r="H16" s="14"/>
      <c r="I16" s="14">
        <v>1</v>
      </c>
      <c r="J16" s="14">
        <v>27</v>
      </c>
      <c r="K16" s="14">
        <v>50</v>
      </c>
      <c r="L16" s="14"/>
      <c r="M16" s="14"/>
      <c r="N16" s="14"/>
      <c r="O16" s="14"/>
      <c r="P16" s="14"/>
      <c r="Q16" s="14"/>
    </row>
    <row r="17" spans="1:17" x14ac:dyDescent="0.3">
      <c r="A17" s="10">
        <v>45696</v>
      </c>
      <c r="B17" s="11" t="s">
        <v>7</v>
      </c>
      <c r="C17" s="11" t="s">
        <v>20</v>
      </c>
      <c r="D17" s="11" t="s">
        <v>18</v>
      </c>
      <c r="E17" s="11" t="s">
        <v>8</v>
      </c>
      <c r="F17" s="11" t="s">
        <v>103</v>
      </c>
      <c r="G17" s="11"/>
      <c r="H17" s="11"/>
      <c r="I17" s="11">
        <v>1</v>
      </c>
      <c r="J17" s="11">
        <v>33</v>
      </c>
      <c r="K17" s="11">
        <v>50</v>
      </c>
      <c r="L17" s="11"/>
      <c r="M17" s="11"/>
      <c r="N17" s="11"/>
      <c r="O17" s="11"/>
      <c r="P17" s="11"/>
      <c r="Q17" s="11"/>
    </row>
    <row r="18" spans="1:17" x14ac:dyDescent="0.3">
      <c r="A18" s="13">
        <v>45696</v>
      </c>
      <c r="B18" s="14" t="s">
        <v>7</v>
      </c>
      <c r="C18" s="14" t="s">
        <v>20</v>
      </c>
      <c r="D18" s="14" t="s">
        <v>92</v>
      </c>
      <c r="E18" s="14" t="s">
        <v>16</v>
      </c>
      <c r="F18" s="14" t="s">
        <v>104</v>
      </c>
      <c r="G18" s="14">
        <v>1</v>
      </c>
      <c r="H18" s="14"/>
      <c r="I18" s="14"/>
      <c r="J18" s="14">
        <v>50</v>
      </c>
      <c r="K18" s="14">
        <v>21</v>
      </c>
      <c r="L18" s="14"/>
      <c r="M18" s="14"/>
      <c r="N18" s="14"/>
      <c r="O18" s="14"/>
      <c r="P18" s="14"/>
      <c r="Q18" s="14"/>
    </row>
    <row r="19" spans="1:17" x14ac:dyDescent="0.3">
      <c r="A19" s="10">
        <v>45696</v>
      </c>
      <c r="B19" s="11" t="s">
        <v>7</v>
      </c>
      <c r="C19" s="11" t="s">
        <v>20</v>
      </c>
      <c r="D19" s="11" t="s">
        <v>44</v>
      </c>
      <c r="E19" s="11" t="s">
        <v>8</v>
      </c>
      <c r="F19" s="11" t="s">
        <v>105</v>
      </c>
      <c r="G19" s="11"/>
      <c r="H19" s="11"/>
      <c r="I19" s="11">
        <v>1</v>
      </c>
      <c r="J19" s="11">
        <v>40</v>
      </c>
      <c r="K19" s="11">
        <v>50</v>
      </c>
      <c r="L19" s="11"/>
      <c r="M19" s="11"/>
      <c r="N19" s="11"/>
      <c r="O19" s="11"/>
      <c r="P19" s="11"/>
      <c r="Q19" s="11"/>
    </row>
    <row r="20" spans="1:17" ht="28.8" x14ac:dyDescent="0.3">
      <c r="A20" s="13">
        <v>45745</v>
      </c>
      <c r="B20" s="14" t="s">
        <v>7</v>
      </c>
      <c r="C20" s="14" t="s">
        <v>20</v>
      </c>
      <c r="D20" s="14" t="s">
        <v>81</v>
      </c>
      <c r="E20" s="15" t="s">
        <v>13</v>
      </c>
      <c r="F20" s="14" t="s">
        <v>100</v>
      </c>
      <c r="G20" s="14"/>
      <c r="H20" s="14"/>
      <c r="I20" s="14">
        <v>1</v>
      </c>
      <c r="J20" s="14">
        <v>55</v>
      </c>
      <c r="K20" s="14">
        <v>59</v>
      </c>
      <c r="L20" s="14"/>
      <c r="M20" s="14"/>
      <c r="N20" s="14"/>
      <c r="O20" s="14"/>
      <c r="P20" s="14"/>
      <c r="Q20" s="14"/>
    </row>
    <row r="21" spans="1:17" ht="28.8" x14ac:dyDescent="0.3">
      <c r="A21" s="10">
        <v>45745</v>
      </c>
      <c r="B21" s="11" t="s">
        <v>7</v>
      </c>
      <c r="C21" s="11" t="s">
        <v>20</v>
      </c>
      <c r="D21" s="11" t="s">
        <v>92</v>
      </c>
      <c r="E21" s="12" t="s">
        <v>10</v>
      </c>
      <c r="F21" s="11" t="s">
        <v>101</v>
      </c>
      <c r="G21" s="11">
        <v>1</v>
      </c>
      <c r="H21" s="11"/>
      <c r="I21" s="11"/>
      <c r="J21" s="11">
        <v>57</v>
      </c>
      <c r="K21" s="11">
        <v>52</v>
      </c>
      <c r="L21" s="11"/>
      <c r="M21" s="11"/>
      <c r="N21" s="11"/>
      <c r="O21" s="11"/>
      <c r="P21" s="11"/>
      <c r="Q21" s="11"/>
    </row>
    <row r="22" spans="1:17" x14ac:dyDescent="0.3">
      <c r="A22" s="13">
        <v>45745</v>
      </c>
      <c r="B22" s="14" t="s">
        <v>7</v>
      </c>
      <c r="C22" s="14" t="s">
        <v>20</v>
      </c>
      <c r="D22" s="14" t="s">
        <v>87</v>
      </c>
      <c r="E22" s="14" t="s">
        <v>8</v>
      </c>
      <c r="F22" s="14" t="s">
        <v>102</v>
      </c>
      <c r="G22" s="14"/>
      <c r="H22" s="14"/>
      <c r="I22" s="14">
        <v>1</v>
      </c>
      <c r="J22" s="14">
        <v>31</v>
      </c>
      <c r="K22" s="14">
        <v>50</v>
      </c>
      <c r="L22" s="14"/>
      <c r="M22" s="14"/>
      <c r="N22" s="14"/>
      <c r="O22" s="14"/>
      <c r="P22" s="14"/>
      <c r="Q22" s="14"/>
    </row>
    <row r="23" spans="1:17" ht="28.8" x14ac:dyDescent="0.3">
      <c r="A23" s="10">
        <v>45408</v>
      </c>
      <c r="B23" s="11" t="s">
        <v>7</v>
      </c>
      <c r="C23" s="11" t="s">
        <v>20</v>
      </c>
      <c r="D23" s="11" t="s">
        <v>92</v>
      </c>
      <c r="E23" s="12" t="s">
        <v>13</v>
      </c>
      <c r="F23" s="11" t="s">
        <v>107</v>
      </c>
      <c r="G23" s="11"/>
      <c r="H23" s="11"/>
      <c r="I23" s="11">
        <v>1</v>
      </c>
      <c r="J23" s="11">
        <v>68</v>
      </c>
      <c r="K23" s="11">
        <v>72</v>
      </c>
      <c r="L23" s="11"/>
      <c r="M23" s="11"/>
      <c r="N23" s="11"/>
      <c r="O23" s="11"/>
      <c r="P23" s="11"/>
      <c r="Q23" s="11"/>
    </row>
    <row r="24" spans="1:17" ht="28.8" x14ac:dyDescent="0.3">
      <c r="A24" s="13">
        <v>45408</v>
      </c>
      <c r="B24" s="14" t="s">
        <v>7</v>
      </c>
      <c r="C24" s="14" t="s">
        <v>20</v>
      </c>
      <c r="D24" s="14" t="s">
        <v>106</v>
      </c>
      <c r="E24" s="15" t="s">
        <v>13</v>
      </c>
      <c r="F24" s="14" t="s">
        <v>108</v>
      </c>
      <c r="G24" s="14"/>
      <c r="H24" s="14"/>
      <c r="I24" s="14">
        <v>1</v>
      </c>
      <c r="J24" s="14">
        <v>62</v>
      </c>
      <c r="K24" s="14">
        <v>74</v>
      </c>
      <c r="L24" s="14"/>
      <c r="M24" s="14"/>
      <c r="N24" s="14"/>
      <c r="O24" s="14"/>
      <c r="P24" s="14"/>
      <c r="Q24" s="14"/>
    </row>
    <row r="25" spans="1:17" x14ac:dyDescent="0.3">
      <c r="A25" s="4"/>
      <c r="B25" s="2"/>
      <c r="C25" s="2"/>
      <c r="D25" s="2"/>
      <c r="E25" s="2"/>
      <c r="F25" s="6"/>
    </row>
    <row r="26" spans="1:17" x14ac:dyDescent="0.3">
      <c r="A26" s="4"/>
      <c r="B26" s="2"/>
      <c r="C26" s="2"/>
      <c r="D26" s="2"/>
      <c r="E26" s="2"/>
      <c r="F26" s="6"/>
    </row>
    <row r="27" spans="1:17" x14ac:dyDescent="0.3">
      <c r="A27" s="4"/>
      <c r="B27" s="2"/>
      <c r="C27" s="2"/>
      <c r="D27" s="2"/>
      <c r="E27" s="3"/>
      <c r="F27" s="6"/>
    </row>
    <row r="28" spans="1:17" x14ac:dyDescent="0.3">
      <c r="A28" s="4"/>
      <c r="B28" s="2"/>
      <c r="C28" s="2"/>
      <c r="D28" s="2"/>
      <c r="E28" s="5"/>
      <c r="F28" s="6"/>
    </row>
    <row r="29" spans="1:17" x14ac:dyDescent="0.3">
      <c r="A29" s="4"/>
      <c r="B29" s="2"/>
      <c r="C29" s="2"/>
      <c r="D29" s="2"/>
      <c r="E29" s="5"/>
      <c r="F29" s="6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9F618-7837-4063-847C-00A222FA0E71}">
  <sheetPr>
    <tabColor rgb="FFFFC000"/>
  </sheetPr>
  <dimension ref="A1:R27"/>
  <sheetViews>
    <sheetView workbookViewId="0">
      <selection activeCell="Q3" sqref="Q3"/>
    </sheetView>
  </sheetViews>
  <sheetFormatPr defaultRowHeight="14.4" x14ac:dyDescent="0.3"/>
  <cols>
    <col min="1" max="18" width="10.77734375" customWidth="1"/>
  </cols>
  <sheetData>
    <row r="1" spans="1:18" x14ac:dyDescent="0.3">
      <c r="A1" s="16" t="s">
        <v>0</v>
      </c>
      <c r="B1" s="16" t="s">
        <v>1</v>
      </c>
      <c r="C1" s="16"/>
      <c r="D1" s="16"/>
      <c r="E1" s="16" t="s">
        <v>2</v>
      </c>
      <c r="F1" s="16" t="s">
        <v>3</v>
      </c>
      <c r="G1" s="16">
        <v>2</v>
      </c>
      <c r="H1" s="16">
        <v>1</v>
      </c>
      <c r="I1" s="16">
        <v>0</v>
      </c>
      <c r="J1" s="16" t="s">
        <v>4</v>
      </c>
      <c r="K1" s="16" t="s">
        <v>4</v>
      </c>
      <c r="L1" s="16"/>
      <c r="M1" s="16"/>
      <c r="N1" s="16" t="s">
        <v>36</v>
      </c>
      <c r="O1" s="16" t="s">
        <v>19</v>
      </c>
      <c r="P1" s="16" t="s">
        <v>5</v>
      </c>
      <c r="Q1" s="16" t="s">
        <v>6</v>
      </c>
      <c r="R1" s="1"/>
    </row>
    <row r="2" spans="1:18" x14ac:dyDescent="0.3">
      <c r="A2" s="13">
        <v>45201</v>
      </c>
      <c r="B2" s="14" t="s">
        <v>15</v>
      </c>
      <c r="C2" s="14" t="s">
        <v>36</v>
      </c>
      <c r="D2" s="14" t="s">
        <v>37</v>
      </c>
      <c r="E2" s="15" t="s">
        <v>38</v>
      </c>
      <c r="F2" s="14" t="s">
        <v>39</v>
      </c>
      <c r="G2" s="14"/>
      <c r="H2" s="14">
        <v>1</v>
      </c>
      <c r="I2" s="14"/>
      <c r="J2" s="14">
        <v>46</v>
      </c>
      <c r="K2" s="14">
        <v>40</v>
      </c>
      <c r="L2" s="14"/>
      <c r="M2" s="17" t="s">
        <v>9</v>
      </c>
      <c r="N2" s="14">
        <f>SUM(G2:G27)</f>
        <v>15</v>
      </c>
      <c r="O2" s="14">
        <f>SUM(H2:H27)</f>
        <v>3</v>
      </c>
      <c r="P2" s="14">
        <f>SUM(I2:I27)</f>
        <v>8</v>
      </c>
      <c r="Q2" s="14">
        <f>SUM(N2:P2)</f>
        <v>26</v>
      </c>
    </row>
    <row r="3" spans="1:18" x14ac:dyDescent="0.3">
      <c r="A3" s="10">
        <v>45201</v>
      </c>
      <c r="B3" s="11" t="s">
        <v>15</v>
      </c>
      <c r="C3" s="11" t="s">
        <v>36</v>
      </c>
      <c r="D3" s="11" t="s">
        <v>14</v>
      </c>
      <c r="E3" s="12" t="s">
        <v>16</v>
      </c>
      <c r="F3" s="11" t="s">
        <v>40</v>
      </c>
      <c r="G3" s="11">
        <v>1</v>
      </c>
      <c r="H3" s="11"/>
      <c r="I3" s="11"/>
      <c r="J3" s="11">
        <v>50</v>
      </c>
      <c r="K3" s="11">
        <v>29</v>
      </c>
      <c r="L3" s="11"/>
      <c r="M3" s="18" t="s">
        <v>4</v>
      </c>
      <c r="N3" s="11">
        <f>SUM(G2:G27)*2+SUM(H2:H27)</f>
        <v>33</v>
      </c>
      <c r="O3" s="11"/>
      <c r="P3" s="11">
        <f>SUM(I2:I27)*2+SUM(H2:H27)</f>
        <v>19</v>
      </c>
      <c r="Q3" s="11">
        <f>SUM(N3:P3)</f>
        <v>52</v>
      </c>
    </row>
    <row r="4" spans="1:18" x14ac:dyDescent="0.3">
      <c r="A4" s="13">
        <v>45201</v>
      </c>
      <c r="B4" s="14" t="s">
        <v>15</v>
      </c>
      <c r="C4" s="14" t="s">
        <v>36</v>
      </c>
      <c r="D4" s="14" t="s">
        <v>18</v>
      </c>
      <c r="E4" s="15" t="s">
        <v>38</v>
      </c>
      <c r="F4" s="14" t="s">
        <v>41</v>
      </c>
      <c r="G4" s="14"/>
      <c r="H4" s="14">
        <v>1</v>
      </c>
      <c r="I4" s="14"/>
      <c r="J4" s="14">
        <v>43</v>
      </c>
      <c r="K4" s="14">
        <v>48</v>
      </c>
      <c r="L4" s="14"/>
      <c r="M4" s="17" t="s">
        <v>12</v>
      </c>
      <c r="N4" s="14">
        <f>SUM(J2:J27)</f>
        <v>1264</v>
      </c>
      <c r="O4" s="14"/>
      <c r="P4" s="14">
        <f>SUM(K2:K27)</f>
        <v>1211</v>
      </c>
      <c r="Q4" s="14">
        <f>SUM(N4:P4)</f>
        <v>2475</v>
      </c>
    </row>
    <row r="5" spans="1:18" x14ac:dyDescent="0.3">
      <c r="A5" s="10">
        <v>45201</v>
      </c>
      <c r="B5" s="11" t="s">
        <v>15</v>
      </c>
      <c r="C5" s="11" t="s">
        <v>36</v>
      </c>
      <c r="D5" s="11" t="s">
        <v>35</v>
      </c>
      <c r="E5" s="11" t="s">
        <v>16</v>
      </c>
      <c r="F5" s="11" t="s">
        <v>42</v>
      </c>
      <c r="G5" s="11">
        <v>1</v>
      </c>
      <c r="H5" s="11"/>
      <c r="I5" s="11"/>
      <c r="J5" s="11">
        <v>51</v>
      </c>
      <c r="K5" s="11">
        <v>38</v>
      </c>
      <c r="L5" s="11"/>
      <c r="M5" s="11"/>
      <c r="N5" s="11"/>
      <c r="O5" s="11"/>
      <c r="P5" s="11"/>
      <c r="Q5" s="11"/>
    </row>
    <row r="6" spans="1:18" x14ac:dyDescent="0.3">
      <c r="A6" s="13">
        <v>45220</v>
      </c>
      <c r="B6" s="14" t="s">
        <v>7</v>
      </c>
      <c r="C6" s="14" t="s">
        <v>36</v>
      </c>
      <c r="D6" s="14" t="s">
        <v>17</v>
      </c>
      <c r="E6" s="14" t="s">
        <v>16</v>
      </c>
      <c r="F6" s="14" t="s">
        <v>43</v>
      </c>
      <c r="G6" s="14">
        <v>1</v>
      </c>
      <c r="H6" s="14"/>
      <c r="I6" s="14"/>
      <c r="J6" s="14">
        <v>50</v>
      </c>
      <c r="K6" s="14">
        <v>32</v>
      </c>
      <c r="L6" s="14"/>
      <c r="M6" s="14"/>
      <c r="N6" s="14"/>
      <c r="O6" s="14"/>
      <c r="P6" s="14"/>
      <c r="Q6" s="14"/>
    </row>
    <row r="7" spans="1:18" x14ac:dyDescent="0.3">
      <c r="A7" s="10">
        <v>45220</v>
      </c>
      <c r="B7" s="11" t="s">
        <v>7</v>
      </c>
      <c r="C7" s="11" t="s">
        <v>36</v>
      </c>
      <c r="D7" s="11" t="s">
        <v>44</v>
      </c>
      <c r="E7" s="11" t="s">
        <v>16</v>
      </c>
      <c r="F7" s="11" t="s">
        <v>45</v>
      </c>
      <c r="G7" s="11">
        <v>1</v>
      </c>
      <c r="H7" s="11"/>
      <c r="I7" s="11"/>
      <c r="J7" s="11">
        <v>50</v>
      </c>
      <c r="K7" s="11">
        <v>35</v>
      </c>
      <c r="L7" s="11"/>
      <c r="M7" s="11"/>
      <c r="N7" s="11"/>
      <c r="O7" s="11"/>
      <c r="P7" s="11"/>
      <c r="Q7" s="11"/>
    </row>
    <row r="8" spans="1:18" x14ac:dyDescent="0.3">
      <c r="A8" s="13">
        <v>45220</v>
      </c>
      <c r="B8" s="14" t="s">
        <v>7</v>
      </c>
      <c r="C8" s="14" t="s">
        <v>36</v>
      </c>
      <c r="D8" s="14" t="s">
        <v>33</v>
      </c>
      <c r="E8" s="14" t="s">
        <v>16</v>
      </c>
      <c r="F8" s="14" t="s">
        <v>46</v>
      </c>
      <c r="G8" s="14">
        <v>1</v>
      </c>
      <c r="H8" s="14"/>
      <c r="I8" s="14"/>
      <c r="J8" s="14">
        <v>50</v>
      </c>
      <c r="K8" s="14">
        <v>33</v>
      </c>
      <c r="L8" s="14"/>
      <c r="M8" s="14"/>
      <c r="N8" s="14"/>
      <c r="O8" s="14"/>
      <c r="P8" s="14"/>
      <c r="Q8" s="14"/>
    </row>
    <row r="9" spans="1:18" x14ac:dyDescent="0.3">
      <c r="A9" s="10">
        <v>45220</v>
      </c>
      <c r="B9" s="11" t="s">
        <v>7</v>
      </c>
      <c r="C9" s="11" t="s">
        <v>36</v>
      </c>
      <c r="D9" s="11" t="s">
        <v>11</v>
      </c>
      <c r="E9" s="12" t="s">
        <v>38</v>
      </c>
      <c r="F9" s="11" t="s">
        <v>47</v>
      </c>
      <c r="G9" s="11"/>
      <c r="H9" s="11">
        <v>1</v>
      </c>
      <c r="I9" s="11"/>
      <c r="J9" s="11">
        <v>45</v>
      </c>
      <c r="K9" s="11">
        <v>43</v>
      </c>
      <c r="L9" s="11"/>
      <c r="M9" s="11"/>
      <c r="N9" s="11"/>
      <c r="O9" s="11"/>
      <c r="P9" s="11"/>
      <c r="Q9" s="11"/>
    </row>
    <row r="10" spans="1:18" x14ac:dyDescent="0.3">
      <c r="A10" s="13">
        <v>45241</v>
      </c>
      <c r="B10" s="14" t="s">
        <v>7</v>
      </c>
      <c r="C10" s="14" t="s">
        <v>36</v>
      </c>
      <c r="D10" s="14" t="s">
        <v>48</v>
      </c>
      <c r="E10" s="14" t="s">
        <v>16</v>
      </c>
      <c r="F10" s="14" t="s">
        <v>49</v>
      </c>
      <c r="G10" s="14">
        <v>1</v>
      </c>
      <c r="H10" s="14"/>
      <c r="I10" s="14"/>
      <c r="J10" s="14">
        <v>50</v>
      </c>
      <c r="K10" s="14">
        <v>39</v>
      </c>
      <c r="L10" s="14"/>
      <c r="M10" s="14"/>
      <c r="N10" s="14"/>
      <c r="O10" s="14"/>
      <c r="P10" s="14"/>
      <c r="Q10" s="14"/>
    </row>
    <row r="11" spans="1:18" ht="28.8" x14ac:dyDescent="0.3">
      <c r="A11" s="10">
        <v>45241</v>
      </c>
      <c r="B11" s="11" t="s">
        <v>7</v>
      </c>
      <c r="C11" s="11" t="s">
        <v>36</v>
      </c>
      <c r="D11" s="11" t="s">
        <v>50</v>
      </c>
      <c r="E11" s="12" t="s">
        <v>10</v>
      </c>
      <c r="F11" s="11" t="s">
        <v>51</v>
      </c>
      <c r="G11" s="11">
        <v>1</v>
      </c>
      <c r="H11" s="11"/>
      <c r="I11" s="11"/>
      <c r="J11" s="11">
        <v>51</v>
      </c>
      <c r="K11" s="11">
        <v>53</v>
      </c>
      <c r="L11" s="11"/>
      <c r="M11" s="11"/>
      <c r="N11" s="11"/>
      <c r="O11" s="11"/>
      <c r="P11" s="11"/>
      <c r="Q11" s="11"/>
    </row>
    <row r="12" spans="1:18" x14ac:dyDescent="0.3">
      <c r="A12" s="13">
        <v>45241</v>
      </c>
      <c r="B12" s="14" t="s">
        <v>7</v>
      </c>
      <c r="C12" s="14" t="s">
        <v>36</v>
      </c>
      <c r="D12" s="14" t="s">
        <v>11</v>
      </c>
      <c r="E12" s="14" t="s">
        <v>16</v>
      </c>
      <c r="F12" s="14" t="s">
        <v>52</v>
      </c>
      <c r="G12" s="14">
        <v>1</v>
      </c>
      <c r="H12" s="14"/>
      <c r="I12" s="14"/>
      <c r="J12" s="14">
        <v>51</v>
      </c>
      <c r="K12" s="14">
        <v>46</v>
      </c>
      <c r="L12" s="14"/>
      <c r="M12" s="14"/>
      <c r="N12" s="14"/>
      <c r="O12" s="14"/>
      <c r="P12" s="14"/>
      <c r="Q12" s="14"/>
    </row>
    <row r="13" spans="1:18" x14ac:dyDescent="0.3">
      <c r="A13" s="10">
        <v>45262</v>
      </c>
      <c r="B13" s="11" t="s">
        <v>7</v>
      </c>
      <c r="C13" s="11" t="s">
        <v>36</v>
      </c>
      <c r="D13" s="11" t="s">
        <v>53</v>
      </c>
      <c r="E13" s="12" t="s">
        <v>16</v>
      </c>
      <c r="F13" s="11" t="s">
        <v>54</v>
      </c>
      <c r="G13" s="11">
        <v>1</v>
      </c>
      <c r="H13" s="11"/>
      <c r="I13" s="11"/>
      <c r="J13" s="11">
        <v>50</v>
      </c>
      <c r="K13" s="11">
        <v>44</v>
      </c>
      <c r="L13" s="11"/>
      <c r="M13" s="11"/>
      <c r="N13" s="11"/>
      <c r="O13" s="11"/>
      <c r="P13" s="11"/>
      <c r="Q13" s="11"/>
    </row>
    <row r="14" spans="1:18" ht="28.8" x14ac:dyDescent="0.3">
      <c r="A14" s="13">
        <v>45262</v>
      </c>
      <c r="B14" s="14" t="s">
        <v>7</v>
      </c>
      <c r="C14" s="14" t="s">
        <v>36</v>
      </c>
      <c r="D14" s="14" t="s">
        <v>55</v>
      </c>
      <c r="E14" s="15" t="s">
        <v>10</v>
      </c>
      <c r="F14" s="14" t="s">
        <v>56</v>
      </c>
      <c r="G14" s="14">
        <v>1</v>
      </c>
      <c r="H14" s="14"/>
      <c r="I14" s="14"/>
      <c r="J14" s="14">
        <v>62</v>
      </c>
      <c r="K14" s="14">
        <v>56</v>
      </c>
      <c r="L14" s="14"/>
      <c r="M14" s="14"/>
      <c r="N14" s="14"/>
      <c r="O14" s="14"/>
      <c r="P14" s="14"/>
      <c r="Q14" s="14"/>
    </row>
    <row r="15" spans="1:18" x14ac:dyDescent="0.3">
      <c r="A15" s="10">
        <v>45262</v>
      </c>
      <c r="B15" s="11" t="s">
        <v>7</v>
      </c>
      <c r="C15" s="11" t="s">
        <v>36</v>
      </c>
      <c r="D15" s="11" t="s">
        <v>57</v>
      </c>
      <c r="E15" s="11" t="s">
        <v>8</v>
      </c>
      <c r="F15" s="11" t="s">
        <v>58</v>
      </c>
      <c r="G15" s="11"/>
      <c r="H15" s="11"/>
      <c r="I15" s="11">
        <v>1</v>
      </c>
      <c r="J15" s="11">
        <v>48</v>
      </c>
      <c r="K15" s="11">
        <v>53</v>
      </c>
      <c r="L15" s="11"/>
      <c r="M15" s="11"/>
      <c r="N15" s="11"/>
      <c r="O15" s="11"/>
      <c r="P15" s="11"/>
      <c r="Q15" s="11"/>
    </row>
    <row r="16" spans="1:18" x14ac:dyDescent="0.3">
      <c r="A16" s="13">
        <v>45304</v>
      </c>
      <c r="B16" s="14" t="s">
        <v>7</v>
      </c>
      <c r="C16" s="14" t="s">
        <v>36</v>
      </c>
      <c r="D16" s="14" t="s">
        <v>34</v>
      </c>
      <c r="E16" s="14" t="s">
        <v>8</v>
      </c>
      <c r="F16" s="14" t="s">
        <v>59</v>
      </c>
      <c r="G16" s="14"/>
      <c r="H16" s="14"/>
      <c r="I16" s="14">
        <v>1</v>
      </c>
      <c r="J16" s="14">
        <v>37</v>
      </c>
      <c r="K16" s="14">
        <v>50</v>
      </c>
      <c r="L16" s="14"/>
      <c r="M16" s="14"/>
      <c r="N16" s="14"/>
      <c r="O16" s="14"/>
      <c r="P16" s="14"/>
      <c r="Q16" s="14"/>
    </row>
    <row r="17" spans="1:17" x14ac:dyDescent="0.3">
      <c r="A17" s="10">
        <v>45304</v>
      </c>
      <c r="B17" s="11" t="s">
        <v>7</v>
      </c>
      <c r="C17" s="11" t="s">
        <v>36</v>
      </c>
      <c r="D17" s="11" t="s">
        <v>18</v>
      </c>
      <c r="E17" s="11" t="s">
        <v>16</v>
      </c>
      <c r="F17" s="11" t="s">
        <v>60</v>
      </c>
      <c r="G17" s="11">
        <v>1</v>
      </c>
      <c r="H17" s="11"/>
      <c r="I17" s="11"/>
      <c r="J17" s="11">
        <v>50</v>
      </c>
      <c r="K17" s="11">
        <v>44</v>
      </c>
      <c r="L17" s="11"/>
      <c r="M17" s="11"/>
      <c r="N17" s="11"/>
      <c r="O17" s="11"/>
      <c r="P17" s="11"/>
      <c r="Q17" s="11"/>
    </row>
    <row r="18" spans="1:17" ht="28.8" x14ac:dyDescent="0.3">
      <c r="A18" s="13">
        <v>45304</v>
      </c>
      <c r="B18" s="14" t="s">
        <v>7</v>
      </c>
      <c r="C18" s="14" t="s">
        <v>36</v>
      </c>
      <c r="D18" s="14" t="s">
        <v>50</v>
      </c>
      <c r="E18" s="15" t="s">
        <v>10</v>
      </c>
      <c r="F18" s="14" t="s">
        <v>61</v>
      </c>
      <c r="G18" s="14">
        <v>1</v>
      </c>
      <c r="H18" s="14"/>
      <c r="I18" s="14"/>
      <c r="J18" s="14">
        <v>56</v>
      </c>
      <c r="K18" s="14">
        <v>63</v>
      </c>
      <c r="L18" s="14"/>
      <c r="M18" s="14"/>
      <c r="N18" s="14"/>
      <c r="O18" s="14"/>
      <c r="P18" s="14"/>
      <c r="Q18" s="14"/>
    </row>
    <row r="19" spans="1:17" x14ac:dyDescent="0.3">
      <c r="A19" s="10">
        <v>45325</v>
      </c>
      <c r="B19" s="11" t="s">
        <v>7</v>
      </c>
      <c r="C19" s="11" t="s">
        <v>36</v>
      </c>
      <c r="D19" s="11" t="s">
        <v>55</v>
      </c>
      <c r="E19" s="11" t="s">
        <v>16</v>
      </c>
      <c r="F19" s="11" t="s">
        <v>62</v>
      </c>
      <c r="G19" s="11">
        <v>1</v>
      </c>
      <c r="H19" s="11"/>
      <c r="I19" s="11"/>
      <c r="J19" s="11">
        <v>50</v>
      </c>
      <c r="K19" s="11">
        <v>39</v>
      </c>
      <c r="L19" s="11"/>
      <c r="M19" s="11"/>
      <c r="N19" s="11"/>
      <c r="O19" s="11"/>
      <c r="P19" s="11"/>
      <c r="Q19" s="11"/>
    </row>
    <row r="20" spans="1:17" ht="28.8" x14ac:dyDescent="0.3">
      <c r="A20" s="13">
        <v>45325</v>
      </c>
      <c r="B20" s="14" t="s">
        <v>7</v>
      </c>
      <c r="C20" s="14" t="s">
        <v>36</v>
      </c>
      <c r="D20" s="14" t="s">
        <v>63</v>
      </c>
      <c r="E20" s="15" t="s">
        <v>13</v>
      </c>
      <c r="F20" s="14" t="s">
        <v>64</v>
      </c>
      <c r="G20" s="14"/>
      <c r="H20" s="14"/>
      <c r="I20" s="14">
        <v>1</v>
      </c>
      <c r="J20" s="14">
        <v>60</v>
      </c>
      <c r="K20" s="14">
        <v>60</v>
      </c>
      <c r="L20" s="14"/>
      <c r="M20" s="14"/>
      <c r="N20" s="14"/>
      <c r="O20" s="14"/>
      <c r="P20" s="14"/>
      <c r="Q20" s="14"/>
    </row>
    <row r="21" spans="1:17" ht="28.8" x14ac:dyDescent="0.3">
      <c r="A21" s="10">
        <v>45325</v>
      </c>
      <c r="B21" s="11" t="s">
        <v>7</v>
      </c>
      <c r="C21" s="11" t="s">
        <v>36</v>
      </c>
      <c r="D21" s="11" t="s">
        <v>65</v>
      </c>
      <c r="E21" s="12" t="s">
        <v>10</v>
      </c>
      <c r="F21" s="11" t="s">
        <v>66</v>
      </c>
      <c r="G21" s="11">
        <v>1</v>
      </c>
      <c r="H21" s="11"/>
      <c r="I21" s="11"/>
      <c r="J21" s="11">
        <v>60</v>
      </c>
      <c r="K21" s="11">
        <v>54</v>
      </c>
      <c r="L21" s="11"/>
      <c r="M21" s="11"/>
      <c r="N21" s="11"/>
      <c r="O21" s="11"/>
      <c r="P21" s="11"/>
      <c r="Q21" s="11"/>
    </row>
    <row r="22" spans="1:17" x14ac:dyDescent="0.3">
      <c r="A22" s="13">
        <v>45374</v>
      </c>
      <c r="B22" s="14" t="s">
        <v>7</v>
      </c>
      <c r="C22" s="14" t="s">
        <v>36</v>
      </c>
      <c r="D22" s="14" t="s">
        <v>32</v>
      </c>
      <c r="E22" s="14" t="s">
        <v>8</v>
      </c>
      <c r="F22" s="14" t="s">
        <v>67</v>
      </c>
      <c r="G22" s="14"/>
      <c r="H22" s="14"/>
      <c r="I22" s="14">
        <v>1</v>
      </c>
      <c r="J22" s="14">
        <v>34</v>
      </c>
      <c r="K22" s="14">
        <v>50</v>
      </c>
      <c r="L22" s="14"/>
      <c r="M22" s="14"/>
      <c r="N22" s="14"/>
      <c r="O22" s="14"/>
      <c r="P22" s="14"/>
      <c r="Q22" s="14"/>
    </row>
    <row r="23" spans="1:17" x14ac:dyDescent="0.3">
      <c r="A23" s="10">
        <v>45374</v>
      </c>
      <c r="B23" s="11" t="s">
        <v>7</v>
      </c>
      <c r="C23" s="11" t="s">
        <v>36</v>
      </c>
      <c r="D23" s="11" t="s">
        <v>57</v>
      </c>
      <c r="E23" s="11" t="s">
        <v>8</v>
      </c>
      <c r="F23" s="11" t="s">
        <v>68</v>
      </c>
      <c r="G23" s="11"/>
      <c r="H23" s="11"/>
      <c r="I23" s="11">
        <v>1</v>
      </c>
      <c r="J23" s="11">
        <v>35</v>
      </c>
      <c r="K23" s="11">
        <v>50</v>
      </c>
      <c r="L23" s="11"/>
      <c r="M23" s="11"/>
      <c r="N23" s="11"/>
      <c r="O23" s="11"/>
      <c r="P23" s="11"/>
      <c r="Q23" s="11"/>
    </row>
    <row r="24" spans="1:17" x14ac:dyDescent="0.3">
      <c r="A24" s="13">
        <v>45374</v>
      </c>
      <c r="B24" s="14" t="s">
        <v>7</v>
      </c>
      <c r="C24" s="14" t="s">
        <v>36</v>
      </c>
      <c r="D24" s="14" t="s">
        <v>69</v>
      </c>
      <c r="E24" s="14" t="s">
        <v>8</v>
      </c>
      <c r="F24" s="14" t="s">
        <v>70</v>
      </c>
      <c r="G24" s="14"/>
      <c r="H24" s="14"/>
      <c r="I24" s="14">
        <v>1</v>
      </c>
      <c r="J24" s="14">
        <v>38</v>
      </c>
      <c r="K24" s="14">
        <v>50</v>
      </c>
      <c r="L24" s="14"/>
      <c r="M24" s="14"/>
      <c r="N24" s="14"/>
      <c r="O24" s="14"/>
      <c r="P24" s="14"/>
      <c r="Q24" s="14"/>
    </row>
    <row r="25" spans="1:17" x14ac:dyDescent="0.3">
      <c r="A25" s="10">
        <v>45395</v>
      </c>
      <c r="B25" s="11" t="s">
        <v>7</v>
      </c>
      <c r="C25" s="11" t="s">
        <v>36</v>
      </c>
      <c r="D25" s="11" t="s">
        <v>71</v>
      </c>
      <c r="E25" s="12" t="s">
        <v>16</v>
      </c>
      <c r="F25" s="11" t="s">
        <v>72</v>
      </c>
      <c r="G25" s="11">
        <v>1</v>
      </c>
      <c r="H25" s="11"/>
      <c r="I25" s="11"/>
      <c r="J25" s="11">
        <v>50</v>
      </c>
      <c r="K25" s="11">
        <v>42</v>
      </c>
      <c r="L25" s="11"/>
      <c r="M25" s="11"/>
      <c r="N25" s="11"/>
      <c r="O25" s="11"/>
      <c r="P25" s="11"/>
      <c r="Q25" s="11"/>
    </row>
    <row r="26" spans="1:17" ht="28.8" x14ac:dyDescent="0.3">
      <c r="A26" s="13">
        <v>45395</v>
      </c>
      <c r="B26" s="14" t="s">
        <v>7</v>
      </c>
      <c r="C26" s="14" t="s">
        <v>36</v>
      </c>
      <c r="D26" s="14" t="s">
        <v>50</v>
      </c>
      <c r="E26" s="15" t="s">
        <v>13</v>
      </c>
      <c r="F26" s="14" t="s">
        <v>73</v>
      </c>
      <c r="G26" s="14"/>
      <c r="H26" s="14"/>
      <c r="I26" s="14">
        <v>1</v>
      </c>
      <c r="J26" s="14">
        <v>58</v>
      </c>
      <c r="K26" s="14">
        <v>70</v>
      </c>
      <c r="L26" s="14"/>
      <c r="M26" s="14"/>
      <c r="N26" s="14"/>
      <c r="O26" s="14"/>
      <c r="P26" s="14"/>
      <c r="Q26" s="14"/>
    </row>
    <row r="27" spans="1:17" x14ac:dyDescent="0.3">
      <c r="A27" s="10">
        <v>45395</v>
      </c>
      <c r="B27" s="11" t="s">
        <v>7</v>
      </c>
      <c r="C27" s="11" t="s">
        <v>36</v>
      </c>
      <c r="D27" s="11" t="s">
        <v>18</v>
      </c>
      <c r="E27" s="12" t="s">
        <v>8</v>
      </c>
      <c r="F27" s="11" t="s">
        <v>74</v>
      </c>
      <c r="G27" s="11"/>
      <c r="H27" s="11"/>
      <c r="I27" s="11">
        <v>1</v>
      </c>
      <c r="J27" s="11">
        <v>39</v>
      </c>
      <c r="K27" s="11">
        <v>50</v>
      </c>
      <c r="L27" s="11"/>
      <c r="M27" s="11"/>
      <c r="N27" s="11"/>
      <c r="O27" s="11"/>
      <c r="P27" s="11"/>
      <c r="Q27" s="1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 2023-2027</vt:lpstr>
      <vt:lpstr>B 2026-2027</vt:lpstr>
      <vt:lpstr>B 2025-2026</vt:lpstr>
      <vt:lpstr>B 2024-2025</vt:lpstr>
      <vt:lpstr>B 2023-2024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Janne Katoperä</dc:creator>
  <cp:lastModifiedBy>Janne Katoperä</cp:lastModifiedBy>
  <dcterms:created xsi:type="dcterms:W3CDTF">2024-06-25T08:40:00Z</dcterms:created>
  <dcterms:modified xsi:type="dcterms:W3CDTF">2026-10-17T17:00:05Z</dcterms:modified>
</cp:coreProperties>
</file>